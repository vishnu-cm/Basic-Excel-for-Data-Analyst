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Data Analyst\Projects excel\"/>
    </mc:Choice>
  </mc:AlternateContent>
  <xr:revisionPtr revIDLastSave="0" documentId="13_ncr:1_{099ECB73-3224-451D-8B8F-0CB8771C81C6}" xr6:coauthVersionLast="47" xr6:coauthVersionMax="47" xr10:uidLastSave="{00000000-0000-0000-0000-000000000000}"/>
  <bookViews>
    <workbookView xWindow="-108" yWindow="-108" windowWidth="23256" windowHeight="12456" xr2:uid="{2C50E818-E499-411A-A30F-8F2D622F797C}"/>
  </bookViews>
  <sheets>
    <sheet name="Sales_Data" sheetId="1" r:id="rId1"/>
    <sheet name="Product_Info" sheetId="2" r:id="rId2"/>
    <sheet name="Sheet1" sheetId="3" r:id="rId3"/>
    <sheet name="Sheet2" sheetId="5" r:id="rId4"/>
    <sheet name="Sheet3" sheetId="6" r:id="rId5"/>
  </sheets>
  <definedNames>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I2" i="1"/>
  <c r="K2" i="1" s="1"/>
  <c r="I3" i="1"/>
  <c r="K3" i="1" s="1"/>
  <c r="I4" i="1"/>
  <c r="K4" i="1" s="1"/>
  <c r="I5" i="1"/>
  <c r="K5" i="1" s="1"/>
  <c r="I6" i="1"/>
  <c r="K6" i="1" s="1"/>
  <c r="I7" i="1"/>
  <c r="K7" i="1" s="1"/>
  <c r="I8" i="1"/>
  <c r="K8" i="1" s="1"/>
  <c r="I9" i="1"/>
  <c r="K9" i="1" s="1"/>
  <c r="I10" i="1"/>
  <c r="K10" i="1" s="1"/>
  <c r="I11" i="1"/>
  <c r="K11" i="1" s="1"/>
  <c r="I12" i="1"/>
  <c r="J12" i="1" s="1"/>
  <c r="I13" i="1"/>
  <c r="J13" i="1" s="1"/>
  <c r="I14" i="1"/>
  <c r="K14" i="1" s="1"/>
  <c r="I15" i="1"/>
  <c r="K15" i="1" s="1"/>
  <c r="I16" i="1"/>
  <c r="K16" i="1" s="1"/>
  <c r="I17" i="1"/>
  <c r="K17" i="1" s="1"/>
  <c r="I18" i="1"/>
  <c r="K18" i="1" s="1"/>
  <c r="I19" i="1"/>
  <c r="K19" i="1" s="1"/>
  <c r="I20" i="1"/>
  <c r="K20" i="1" s="1"/>
  <c r="I21" i="1"/>
  <c r="K21" i="1" s="1"/>
  <c r="I22" i="1"/>
  <c r="K22" i="1" s="1"/>
  <c r="I23" i="1"/>
  <c r="K23" i="1" s="1"/>
  <c r="I24" i="1"/>
  <c r="J24" i="1" s="1"/>
  <c r="I25" i="1"/>
  <c r="J25" i="1" s="1"/>
  <c r="I26" i="1"/>
  <c r="K26" i="1" s="1"/>
  <c r="I27" i="1"/>
  <c r="K27" i="1" s="1"/>
  <c r="I28" i="1"/>
  <c r="K28" i="1" s="1"/>
  <c r="I29" i="1"/>
  <c r="K29" i="1" s="1"/>
  <c r="I30" i="1"/>
  <c r="K30" i="1" s="1"/>
  <c r="I31" i="1"/>
  <c r="K31" i="1" s="1"/>
  <c r="I32" i="1"/>
  <c r="K32" i="1" s="1"/>
  <c r="I33" i="1"/>
  <c r="K33" i="1" s="1"/>
  <c r="I34" i="1"/>
  <c r="K34" i="1" s="1"/>
  <c r="I35" i="1"/>
  <c r="K35" i="1" s="1"/>
  <c r="I36" i="1"/>
  <c r="J36" i="1" s="1"/>
  <c r="I37" i="1"/>
  <c r="J37" i="1" s="1"/>
  <c r="I38" i="1"/>
  <c r="K38" i="1" s="1"/>
  <c r="I39" i="1"/>
  <c r="K39" i="1" s="1"/>
  <c r="I40" i="1"/>
  <c r="K40" i="1" s="1"/>
  <c r="I41" i="1"/>
  <c r="K41" i="1" s="1"/>
  <c r="I42" i="1"/>
  <c r="K42" i="1" s="1"/>
  <c r="I43" i="1"/>
  <c r="K43" i="1" s="1"/>
  <c r="I44" i="1"/>
  <c r="K44" i="1" s="1"/>
  <c r="I45" i="1"/>
  <c r="K45" i="1" s="1"/>
  <c r="I46" i="1"/>
  <c r="K46" i="1" s="1"/>
  <c r="I47" i="1"/>
  <c r="K47" i="1" s="1"/>
  <c r="I48" i="1"/>
  <c r="J48" i="1" s="1"/>
  <c r="I49" i="1"/>
  <c r="J49" i="1" s="1"/>
  <c r="I50" i="1"/>
  <c r="K50" i="1" s="1"/>
  <c r="I51" i="1"/>
  <c r="K51" i="1" s="1"/>
  <c r="J47" i="1" l="1"/>
  <c r="J35" i="1"/>
  <c r="J23" i="1"/>
  <c r="J11" i="1"/>
  <c r="K49" i="1"/>
  <c r="K37" i="1"/>
  <c r="K25" i="1"/>
  <c r="K13" i="1"/>
  <c r="J46" i="1"/>
  <c r="J34" i="1"/>
  <c r="J22" i="1"/>
  <c r="J10" i="1"/>
  <c r="K48" i="1"/>
  <c r="K36" i="1"/>
  <c r="K24" i="1"/>
  <c r="K12" i="1"/>
  <c r="J45" i="1"/>
  <c r="J33" i="1"/>
  <c r="J21" i="1"/>
  <c r="J9" i="1"/>
  <c r="J44" i="1"/>
  <c r="J32" i="1"/>
  <c r="J20" i="1"/>
  <c r="J8" i="1"/>
  <c r="J43" i="1"/>
  <c r="J31" i="1"/>
  <c r="J19" i="1"/>
  <c r="J7" i="1"/>
  <c r="J42" i="1"/>
  <c r="J30" i="1"/>
  <c r="J18" i="1"/>
  <c r="J6" i="1"/>
  <c r="J41" i="1"/>
  <c r="J29" i="1"/>
  <c r="J17" i="1"/>
  <c r="J5" i="1"/>
  <c r="J40" i="1"/>
  <c r="J28" i="1"/>
  <c r="J16" i="1"/>
  <c r="J4" i="1"/>
  <c r="J51" i="1"/>
  <c r="J39" i="1"/>
  <c r="J27" i="1"/>
  <c r="J15" i="1"/>
  <c r="J3" i="1"/>
  <c r="J50" i="1"/>
  <c r="J38" i="1"/>
  <c r="J26" i="1"/>
  <c r="J14" i="1"/>
  <c r="J2" i="1"/>
</calcChain>
</file>

<file path=xl/sharedStrings.xml><?xml version="1.0" encoding="utf-8"?>
<sst xmlns="http://schemas.openxmlformats.org/spreadsheetml/2006/main" count="239" uniqueCount="35">
  <si>
    <t>Order_ID</t>
  </si>
  <si>
    <t>Date</t>
  </si>
  <si>
    <t>Region</t>
  </si>
  <si>
    <t>Sales_Rep</t>
  </si>
  <si>
    <t>Product</t>
  </si>
  <si>
    <t>Category</t>
  </si>
  <si>
    <t>Units_Sold</t>
  </si>
  <si>
    <t>Unit_Price</t>
  </si>
  <si>
    <t>Dubai</t>
  </si>
  <si>
    <t>Ahmed</t>
  </si>
  <si>
    <t>Laptop</t>
  </si>
  <si>
    <t>Electronics</t>
  </si>
  <si>
    <t>Abu Dhabi</t>
  </si>
  <si>
    <t>Sara</t>
  </si>
  <si>
    <t>Mouse</t>
  </si>
  <si>
    <t>Accessories</t>
  </si>
  <si>
    <t>Sharjah</t>
  </si>
  <si>
    <t>Ali</t>
  </si>
  <si>
    <t>Keyboard</t>
  </si>
  <si>
    <t>Monitor</t>
  </si>
  <si>
    <t>Ajman</t>
  </si>
  <si>
    <t>Headset</t>
  </si>
  <si>
    <t>Fatima</t>
  </si>
  <si>
    <t>Tablet</t>
  </si>
  <si>
    <t>Total_sales</t>
  </si>
  <si>
    <t>Sales_Status</t>
  </si>
  <si>
    <t>Discount</t>
  </si>
  <si>
    <t>Row Labels</t>
  </si>
  <si>
    <t>Grand Total</t>
  </si>
  <si>
    <t>Sum of Total_sales</t>
  </si>
  <si>
    <t>(All)</t>
  </si>
  <si>
    <t>Sum of Units_Sold</t>
  </si>
  <si>
    <t>A (Product)</t>
  </si>
  <si>
    <t>B (Warranty_Years)</t>
  </si>
  <si>
    <t>Warranty_Years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</si>
</sst>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theme="1"/>
      <name val="Arial Unicode MS"/>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vertical="center" wrapText="1"/>
    </xf>
    <xf numFmtId="0" fontId="0" fillId="0" borderId="0" xfId="0" applyNumberFormat="1"/>
  </cellXfs>
  <cellStyles count="1">
    <cellStyle name="Normal" xfId="0" builtinId="0"/>
  </cellStyles>
  <dxfs count="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266700</xdr:colOff>
      <xdr:row>2</xdr:row>
      <xdr:rowOff>99060</xdr:rowOff>
    </xdr:from>
    <xdr:to>
      <xdr:col>10</xdr:col>
      <xdr:colOff>266700</xdr:colOff>
      <xdr:row>16</xdr:row>
      <xdr:rowOff>5715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098A30C-52A7-069D-74C3-3CF7ACB4A3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521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2</xdr:row>
      <xdr:rowOff>99060</xdr:rowOff>
    </xdr:from>
    <xdr:to>
      <xdr:col>7</xdr:col>
      <xdr:colOff>266700</xdr:colOff>
      <xdr:row>16</xdr:row>
      <xdr:rowOff>5715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5008F6C-16A2-953A-297F-666C6AB9E1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233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C M" refreshedDate="46009.937221759261" createdVersion="8" refreshedVersion="8" minRefreshableVersion="3" recordCount="50" xr:uid="{FEAB1FAF-309D-4ED4-B1C2-833CF6E38B97}">
  <cacheSource type="worksheet">
    <worksheetSource name="Table1"/>
  </cacheSource>
  <cacheFields count="11">
    <cacheField name="Order_ID" numFmtId="0">
      <sharedItems containsSemiMixedTypes="0" containsString="0" containsNumber="1" containsInteger="1" minValue="1" maxValue="50"/>
    </cacheField>
    <cacheField name="Date" numFmtId="14">
      <sharedItems containsSemiMixedTypes="0" containsNonDate="0" containsDate="1" containsString="0" minDate="2024-01-01T00:00:00" maxDate="2024-01-26T00:00:00"/>
    </cacheField>
    <cacheField name="Region" numFmtId="0">
      <sharedItems count="4">
        <s v="Dubai"/>
        <s v="Abu Dhabi"/>
        <s v="Sharjah"/>
        <s v="Ajman"/>
      </sharedItems>
    </cacheField>
    <cacheField name="Sales_Rep" numFmtId="0">
      <sharedItems count="4">
        <s v="Ahmed"/>
        <s v="Sara"/>
        <s v="Ali"/>
        <s v="Fatima"/>
      </sharedItems>
    </cacheField>
    <cacheField name="Product" numFmtId="0">
      <sharedItems/>
    </cacheField>
    <cacheField name="Category" numFmtId="0">
      <sharedItems count="2">
        <s v="Electronics"/>
        <s v="Accessories"/>
      </sharedItems>
    </cacheField>
    <cacheField name="Units_Sold" numFmtId="0">
      <sharedItems containsSemiMixedTypes="0" containsString="0" containsNumber="1" containsInteger="1" minValue="1" maxValue="30"/>
    </cacheField>
    <cacheField name="Unit_Price" numFmtId="0">
      <sharedItems containsSemiMixedTypes="0" containsString="0" containsNumber="1" containsInteger="1" minValue="80" maxValue="3200"/>
    </cacheField>
    <cacheField name="Total_sales" numFmtId="0">
      <sharedItems containsSemiMixedTypes="0" containsString="0" containsNumber="1" containsInteger="1" minValue="600" maxValue="9600"/>
    </cacheField>
    <cacheField name="Sales_Status" numFmtId="0">
      <sharedItems/>
    </cacheField>
    <cacheField name="Discount" numFmtId="0">
      <sharedItems/>
    </cacheField>
  </cacheFields>
  <extLst>
    <ext xmlns:x14="http://schemas.microsoft.com/office/spreadsheetml/2009/9/main" uri="{725AE2AE-9491-48be-B2B4-4EB974FC3084}">
      <x14:pivotCacheDefinition pivotCacheId="1208972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d v="2024-01-01T00:00:00"/>
    <x v="0"/>
    <x v="0"/>
    <s v="Laptop"/>
    <x v="0"/>
    <n v="2"/>
    <n v="3200"/>
    <n v="6400"/>
    <s v="High"/>
    <s v="Yes"/>
  </r>
  <r>
    <n v="2"/>
    <d v="2024-01-01T00:00:00"/>
    <x v="1"/>
    <x v="1"/>
    <s v="Mouse"/>
    <x v="1"/>
    <n v="10"/>
    <n v="80"/>
    <n v="800"/>
    <s v="Low"/>
    <s v="No"/>
  </r>
  <r>
    <n v="3"/>
    <d v="2024-01-02T00:00:00"/>
    <x v="2"/>
    <x v="2"/>
    <s v="Keyboard"/>
    <x v="1"/>
    <n v="5"/>
    <n v="120"/>
    <n v="600"/>
    <s v="Low"/>
    <s v="No"/>
  </r>
  <r>
    <n v="4"/>
    <d v="2024-01-02T00:00:00"/>
    <x v="0"/>
    <x v="0"/>
    <s v="Monitor"/>
    <x v="0"/>
    <n v="3"/>
    <n v="900"/>
    <n v="2700"/>
    <s v="Low"/>
    <s v="No"/>
  </r>
  <r>
    <n v="5"/>
    <d v="2024-01-03T00:00:00"/>
    <x v="3"/>
    <x v="1"/>
    <s v="Headset"/>
    <x v="1"/>
    <n v="6"/>
    <n v="150"/>
    <n v="900"/>
    <s v="Low"/>
    <s v="No"/>
  </r>
  <r>
    <n v="6"/>
    <d v="2024-01-03T00:00:00"/>
    <x v="1"/>
    <x v="2"/>
    <s v="Laptop"/>
    <x v="0"/>
    <n v="1"/>
    <n v="3200"/>
    <n v="3200"/>
    <s v="Low"/>
    <s v="No"/>
  </r>
  <r>
    <n v="7"/>
    <d v="2024-01-04T00:00:00"/>
    <x v="0"/>
    <x v="3"/>
    <s v="Tablet"/>
    <x v="0"/>
    <n v="4"/>
    <n v="1200"/>
    <n v="4800"/>
    <s v="Low"/>
    <s v="No"/>
  </r>
  <r>
    <n v="8"/>
    <d v="2024-01-04T00:00:00"/>
    <x v="2"/>
    <x v="0"/>
    <s v="Mouse"/>
    <x v="1"/>
    <n v="20"/>
    <n v="80"/>
    <n v="1600"/>
    <s v="Low"/>
    <s v="No"/>
  </r>
  <r>
    <n v="9"/>
    <d v="2024-01-05T00:00:00"/>
    <x v="0"/>
    <x v="1"/>
    <s v="Keyboard"/>
    <x v="1"/>
    <n v="7"/>
    <n v="120"/>
    <n v="840"/>
    <s v="Low"/>
    <s v="No"/>
  </r>
  <r>
    <n v="10"/>
    <d v="2024-01-05T00:00:00"/>
    <x v="3"/>
    <x v="2"/>
    <s v="Monitor"/>
    <x v="0"/>
    <n v="2"/>
    <n v="900"/>
    <n v="1800"/>
    <s v="Low"/>
    <s v="No"/>
  </r>
  <r>
    <n v="11"/>
    <d v="2024-01-06T00:00:00"/>
    <x v="1"/>
    <x v="3"/>
    <s v="Laptop"/>
    <x v="0"/>
    <n v="3"/>
    <n v="3200"/>
    <n v="9600"/>
    <s v="High"/>
    <s v="Yes"/>
  </r>
  <r>
    <n v="12"/>
    <d v="2024-01-06T00:00:00"/>
    <x v="0"/>
    <x v="0"/>
    <s v="Headset"/>
    <x v="1"/>
    <n v="5"/>
    <n v="150"/>
    <n v="750"/>
    <s v="Low"/>
    <s v="No"/>
  </r>
  <r>
    <n v="13"/>
    <d v="2024-01-07T00:00:00"/>
    <x v="2"/>
    <x v="1"/>
    <s v="Tablet"/>
    <x v="0"/>
    <n v="2"/>
    <n v="1200"/>
    <n v="2400"/>
    <s v="Low"/>
    <s v="No"/>
  </r>
  <r>
    <n v="14"/>
    <d v="2024-01-07T00:00:00"/>
    <x v="3"/>
    <x v="2"/>
    <s v="Mouse"/>
    <x v="1"/>
    <n v="12"/>
    <n v="80"/>
    <n v="960"/>
    <s v="Low"/>
    <s v="No"/>
  </r>
  <r>
    <n v="15"/>
    <d v="2024-01-08T00:00:00"/>
    <x v="0"/>
    <x v="3"/>
    <s v="Keyboard"/>
    <x v="1"/>
    <n v="8"/>
    <n v="120"/>
    <n v="960"/>
    <s v="Low"/>
    <s v="No"/>
  </r>
  <r>
    <n v="16"/>
    <d v="2024-01-08T00:00:00"/>
    <x v="1"/>
    <x v="0"/>
    <s v="Monitor"/>
    <x v="0"/>
    <n v="1"/>
    <n v="900"/>
    <n v="900"/>
    <s v="Low"/>
    <s v="No"/>
  </r>
  <r>
    <n v="17"/>
    <d v="2024-01-09T00:00:00"/>
    <x v="2"/>
    <x v="2"/>
    <s v="Laptop"/>
    <x v="0"/>
    <n v="2"/>
    <n v="3200"/>
    <n v="6400"/>
    <s v="High"/>
    <s v="Yes"/>
  </r>
  <r>
    <n v="18"/>
    <d v="2024-01-09T00:00:00"/>
    <x v="3"/>
    <x v="1"/>
    <s v="Headset"/>
    <x v="1"/>
    <n v="9"/>
    <n v="150"/>
    <n v="1350"/>
    <s v="Low"/>
    <s v="No"/>
  </r>
  <r>
    <n v="19"/>
    <d v="2024-01-10T00:00:00"/>
    <x v="0"/>
    <x v="0"/>
    <s v="Tablet"/>
    <x v="0"/>
    <n v="3"/>
    <n v="1200"/>
    <n v="3600"/>
    <s v="Low"/>
    <s v="No"/>
  </r>
  <r>
    <n v="20"/>
    <d v="2024-01-10T00:00:00"/>
    <x v="1"/>
    <x v="3"/>
    <s v="Mouse"/>
    <x v="1"/>
    <n v="25"/>
    <n v="80"/>
    <n v="2000"/>
    <s v="Low"/>
    <s v="No"/>
  </r>
  <r>
    <n v="21"/>
    <d v="2024-01-11T00:00:00"/>
    <x v="2"/>
    <x v="1"/>
    <s v="Keyboard"/>
    <x v="1"/>
    <n v="6"/>
    <n v="120"/>
    <n v="720"/>
    <s v="Low"/>
    <s v="No"/>
  </r>
  <r>
    <n v="22"/>
    <d v="2024-01-11T00:00:00"/>
    <x v="3"/>
    <x v="2"/>
    <s v="Monitor"/>
    <x v="0"/>
    <n v="2"/>
    <n v="900"/>
    <n v="1800"/>
    <s v="Low"/>
    <s v="No"/>
  </r>
  <r>
    <n v="23"/>
    <d v="2024-01-12T00:00:00"/>
    <x v="0"/>
    <x v="3"/>
    <s v="Laptop"/>
    <x v="0"/>
    <n v="1"/>
    <n v="3200"/>
    <n v="3200"/>
    <s v="Low"/>
    <s v="No"/>
  </r>
  <r>
    <n v="24"/>
    <d v="2024-01-12T00:00:00"/>
    <x v="1"/>
    <x v="0"/>
    <s v="Headset"/>
    <x v="1"/>
    <n v="4"/>
    <n v="150"/>
    <n v="600"/>
    <s v="Low"/>
    <s v="No"/>
  </r>
  <r>
    <n v="25"/>
    <d v="2024-01-13T00:00:00"/>
    <x v="2"/>
    <x v="2"/>
    <s v="Tablet"/>
    <x v="0"/>
    <n v="2"/>
    <n v="1200"/>
    <n v="2400"/>
    <s v="Low"/>
    <s v="No"/>
  </r>
  <r>
    <n v="26"/>
    <d v="2024-01-13T00:00:00"/>
    <x v="3"/>
    <x v="1"/>
    <s v="Mouse"/>
    <x v="1"/>
    <n v="15"/>
    <n v="80"/>
    <n v="1200"/>
    <s v="Low"/>
    <s v="No"/>
  </r>
  <r>
    <n v="27"/>
    <d v="2024-01-14T00:00:00"/>
    <x v="0"/>
    <x v="0"/>
    <s v="Keyboard"/>
    <x v="1"/>
    <n v="10"/>
    <n v="120"/>
    <n v="1200"/>
    <s v="Low"/>
    <s v="No"/>
  </r>
  <r>
    <n v="28"/>
    <d v="2024-01-14T00:00:00"/>
    <x v="1"/>
    <x v="3"/>
    <s v="Monitor"/>
    <x v="0"/>
    <n v="3"/>
    <n v="900"/>
    <n v="2700"/>
    <s v="Low"/>
    <s v="No"/>
  </r>
  <r>
    <n v="29"/>
    <d v="2024-01-15T00:00:00"/>
    <x v="2"/>
    <x v="1"/>
    <s v="Laptop"/>
    <x v="0"/>
    <n v="2"/>
    <n v="3200"/>
    <n v="6400"/>
    <s v="High"/>
    <s v="Yes"/>
  </r>
  <r>
    <n v="30"/>
    <d v="2024-01-15T00:00:00"/>
    <x v="3"/>
    <x v="2"/>
    <s v="Headset"/>
    <x v="1"/>
    <n v="7"/>
    <n v="150"/>
    <n v="1050"/>
    <s v="Low"/>
    <s v="No"/>
  </r>
  <r>
    <n v="31"/>
    <d v="2024-01-16T00:00:00"/>
    <x v="0"/>
    <x v="3"/>
    <s v="Tablet"/>
    <x v="0"/>
    <n v="4"/>
    <n v="1200"/>
    <n v="4800"/>
    <s v="Low"/>
    <s v="No"/>
  </r>
  <r>
    <n v="32"/>
    <d v="2024-01-16T00:00:00"/>
    <x v="1"/>
    <x v="0"/>
    <s v="Mouse"/>
    <x v="1"/>
    <n v="30"/>
    <n v="80"/>
    <n v="2400"/>
    <s v="Low"/>
    <s v="No"/>
  </r>
  <r>
    <n v="33"/>
    <d v="2024-01-17T00:00:00"/>
    <x v="2"/>
    <x v="2"/>
    <s v="Keyboard"/>
    <x v="1"/>
    <n v="9"/>
    <n v="120"/>
    <n v="1080"/>
    <s v="Low"/>
    <s v="No"/>
  </r>
  <r>
    <n v="34"/>
    <d v="2024-01-17T00:00:00"/>
    <x v="3"/>
    <x v="1"/>
    <s v="Monitor"/>
    <x v="0"/>
    <n v="1"/>
    <n v="900"/>
    <n v="900"/>
    <s v="Low"/>
    <s v="No"/>
  </r>
  <r>
    <n v="35"/>
    <d v="2024-01-18T00:00:00"/>
    <x v="0"/>
    <x v="0"/>
    <s v="Laptop"/>
    <x v="0"/>
    <n v="3"/>
    <n v="3200"/>
    <n v="9600"/>
    <s v="High"/>
    <s v="Yes"/>
  </r>
  <r>
    <n v="36"/>
    <d v="2024-01-18T00:00:00"/>
    <x v="1"/>
    <x v="3"/>
    <s v="Headset"/>
    <x v="1"/>
    <n v="6"/>
    <n v="150"/>
    <n v="900"/>
    <s v="Low"/>
    <s v="No"/>
  </r>
  <r>
    <n v="37"/>
    <d v="2024-01-19T00:00:00"/>
    <x v="2"/>
    <x v="1"/>
    <s v="Tablet"/>
    <x v="0"/>
    <n v="2"/>
    <n v="1200"/>
    <n v="2400"/>
    <s v="Low"/>
    <s v="No"/>
  </r>
  <r>
    <n v="38"/>
    <d v="2024-01-19T00:00:00"/>
    <x v="3"/>
    <x v="2"/>
    <s v="Mouse"/>
    <x v="1"/>
    <n v="18"/>
    <n v="80"/>
    <n v="1440"/>
    <s v="Low"/>
    <s v="No"/>
  </r>
  <r>
    <n v="39"/>
    <d v="2024-01-20T00:00:00"/>
    <x v="0"/>
    <x v="3"/>
    <s v="Keyboard"/>
    <x v="1"/>
    <n v="11"/>
    <n v="120"/>
    <n v="1320"/>
    <s v="Low"/>
    <s v="No"/>
  </r>
  <r>
    <n v="40"/>
    <d v="2024-01-20T00:00:00"/>
    <x v="1"/>
    <x v="0"/>
    <s v="Monitor"/>
    <x v="0"/>
    <n v="2"/>
    <n v="900"/>
    <n v="1800"/>
    <s v="Low"/>
    <s v="No"/>
  </r>
  <r>
    <n v="41"/>
    <d v="2024-01-21T00:00:00"/>
    <x v="2"/>
    <x v="2"/>
    <s v="Laptop"/>
    <x v="0"/>
    <n v="1"/>
    <n v="3200"/>
    <n v="3200"/>
    <s v="Low"/>
    <s v="No"/>
  </r>
  <r>
    <n v="42"/>
    <d v="2024-01-21T00:00:00"/>
    <x v="3"/>
    <x v="1"/>
    <s v="Headset"/>
    <x v="1"/>
    <n v="8"/>
    <n v="150"/>
    <n v="1200"/>
    <s v="Low"/>
    <s v="No"/>
  </r>
  <r>
    <n v="43"/>
    <d v="2024-01-22T00:00:00"/>
    <x v="0"/>
    <x v="0"/>
    <s v="Tablet"/>
    <x v="0"/>
    <n v="5"/>
    <n v="1200"/>
    <n v="6000"/>
    <s v="High"/>
    <s v="No"/>
  </r>
  <r>
    <n v="44"/>
    <d v="2024-01-22T00:00:00"/>
    <x v="1"/>
    <x v="3"/>
    <s v="Mouse"/>
    <x v="1"/>
    <n v="22"/>
    <n v="80"/>
    <n v="1760"/>
    <s v="Low"/>
    <s v="No"/>
  </r>
  <r>
    <n v="45"/>
    <d v="2024-01-23T00:00:00"/>
    <x v="2"/>
    <x v="1"/>
    <s v="Keyboard"/>
    <x v="1"/>
    <n v="7"/>
    <n v="120"/>
    <n v="840"/>
    <s v="Low"/>
    <s v="No"/>
  </r>
  <r>
    <n v="46"/>
    <d v="2024-01-23T00:00:00"/>
    <x v="3"/>
    <x v="2"/>
    <s v="Monitor"/>
    <x v="0"/>
    <n v="2"/>
    <n v="900"/>
    <n v="1800"/>
    <s v="Low"/>
    <s v="No"/>
  </r>
  <r>
    <n v="47"/>
    <d v="2024-01-24T00:00:00"/>
    <x v="0"/>
    <x v="3"/>
    <s v="Laptop"/>
    <x v="0"/>
    <n v="2"/>
    <n v="3200"/>
    <n v="6400"/>
    <s v="High"/>
    <s v="Yes"/>
  </r>
  <r>
    <n v="48"/>
    <d v="2024-01-24T00:00:00"/>
    <x v="1"/>
    <x v="0"/>
    <s v="Headset"/>
    <x v="1"/>
    <n v="5"/>
    <n v="150"/>
    <n v="750"/>
    <s v="Low"/>
    <s v="No"/>
  </r>
  <r>
    <n v="49"/>
    <d v="2024-01-25T00:00:00"/>
    <x v="2"/>
    <x v="2"/>
    <s v="Tablet"/>
    <x v="0"/>
    <n v="3"/>
    <n v="1200"/>
    <n v="3600"/>
    <s v="Low"/>
    <s v="No"/>
  </r>
  <r>
    <n v="50"/>
    <d v="2024-01-25T00:00:00"/>
    <x v="3"/>
    <x v="1"/>
    <s v="Mouse"/>
    <x v="1"/>
    <n v="16"/>
    <n v="80"/>
    <n v="1280"/>
    <s v="Low"/>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684FF8-A742-447D-846D-D8F2295552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showAll="0"/>
    <pivotField numFmtId="14" showAll="0"/>
    <pivotField axis="axisRow" showAll="0">
      <items count="5">
        <item x="1"/>
        <item x="3"/>
        <item x="0"/>
        <item x="2"/>
        <item t="default"/>
      </items>
    </pivotField>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427CD5-D196-44AD-89D2-8B8053027F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1">
    <pivotField showAll="0"/>
    <pivotField numFmtId="14" showAll="0"/>
    <pivotField axis="axisPage" showAll="0">
      <items count="5">
        <item x="1"/>
        <item x="3"/>
        <item x="0"/>
        <item x="2"/>
        <item t="default"/>
      </items>
    </pivotField>
    <pivotField axis="axisRow" showAll="0">
      <items count="5">
        <item x="0"/>
        <item x="2"/>
        <item x="3"/>
        <item x="1"/>
        <item t="default"/>
      </items>
    </pivotField>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pageFields count="1">
    <pageField fld="2" hier="-1"/>
  </pageField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17018-F90A-48EC-B346-AAEE806BBF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11">
    <pivotField showAll="0"/>
    <pivotField numFmtId="14" showAll="0"/>
    <pivotField showAll="0">
      <items count="5">
        <item x="1"/>
        <item h="1" x="3"/>
        <item h="1" x="0"/>
        <item h="1" x="2"/>
        <item t="default"/>
      </items>
    </pivotField>
    <pivotField showAll="0"/>
    <pivotField showAll="0"/>
    <pivotField axis="axisRow" showAll="0">
      <items count="3">
        <item x="1"/>
        <item h="1" x="0"/>
        <item t="default"/>
      </items>
    </pivotField>
    <pivotField dataField="1" showAll="0"/>
    <pivotField showAll="0"/>
    <pivotField dataField="1" showAll="0"/>
    <pivotField showAll="0"/>
    <pivotField showAll="0"/>
  </pivotFields>
  <rowFields count="1">
    <field x="5"/>
  </rowFields>
  <rowItems count="2">
    <i>
      <x/>
    </i>
    <i t="grand">
      <x/>
    </i>
  </rowItems>
  <colFields count="1">
    <field x="-2"/>
  </colFields>
  <colItems count="2">
    <i>
      <x/>
    </i>
    <i i="1">
      <x v="1"/>
    </i>
  </colItems>
  <dataFields count="2">
    <dataField name="Sum of Units_Sold" fld="6" baseField="0" baseItem="0"/>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C06288-EE72-476A-90CE-BD4988A91528}" sourceName="Region">
  <pivotTables>
    <pivotTable tabId="6" name="PivotTable4"/>
  </pivotTables>
  <data>
    <tabular pivotCacheId="1208972055">
      <items count="4">
        <i x="1" s="1"/>
        <i x="3"/>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B8217C-AAF9-45EF-BD18-91F02F679508}" sourceName="Category">
  <pivotTables>
    <pivotTable tabId="6" name="PivotTable4"/>
  </pivotTables>
  <data>
    <tabular pivotCacheId="120897205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A407C7-FC70-48E4-843D-1D89A4E4D9AE}" cache="Slicer_Region" caption="Region" rowHeight="234950"/>
  <slicer name="Category" xr10:uid="{A0B33C3C-7EB6-47CA-A35A-C2CA3C101F3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EB3A8-E12B-40AE-920C-89D82E542462}" name="Table1" displayName="Table1" ref="A1:L51" totalsRowShown="0">
  <autoFilter ref="A1:L51" xr:uid="{132EB3A8-E12B-40AE-920C-89D82E542462}"/>
  <tableColumns count="12">
    <tableColumn id="1" xr3:uid="{74DBB962-67F4-4993-A102-84FD8613A351}" name="Order_ID"/>
    <tableColumn id="2" xr3:uid="{21EAB458-1F14-4484-B728-6E9BF59977A4}" name="Date" dataDxfId="8"/>
    <tableColumn id="3" xr3:uid="{80DD2F85-29CF-44E0-9B8C-53771C4BF4CA}" name="Region"/>
    <tableColumn id="4" xr3:uid="{56639327-F67F-4A69-80EF-D49612A39A5C}" name="Sales_Rep"/>
    <tableColumn id="5" xr3:uid="{FFFFB182-FD8A-4054-ABB2-DBC4F317978E}" name="Product"/>
    <tableColumn id="6" xr3:uid="{4FB57BC1-CF8D-4C03-A5CD-1A69A99591E6}" name="Category"/>
    <tableColumn id="7" xr3:uid="{D081B0C4-6EDD-4267-8F96-277181DCEB54}" name="Units_Sold"/>
    <tableColumn id="8" xr3:uid="{425757B0-7A02-410E-BED0-BB5573ADB826}" name="Unit_Price"/>
    <tableColumn id="9" xr3:uid="{49173760-92D0-4927-8F82-6E4ED432FE34}" name="Total_sales" dataDxfId="7">
      <calculatedColumnFormula>G2*H2</calculatedColumnFormula>
    </tableColumn>
    <tableColumn id="10" xr3:uid="{B2B5A59F-7429-4C39-97B9-956C7D98CA82}" name="Sales_Status" dataDxfId="6">
      <calculatedColumnFormula>IF(I2&gt;=5000,"High","Low")</calculatedColumnFormula>
    </tableColumn>
    <tableColumn id="13" xr3:uid="{B70002EB-D22F-4299-9C91-A2A42F42A81B}" name="Discount" dataDxfId="5">
      <calculatedColumnFormula>IF(AND(F2="Electronics", I2 &gt;6000),"Yes","No")</calculatedColumnFormula>
    </tableColumn>
    <tableColumn id="11" xr3:uid="{397067B2-877B-4CF3-8167-2D20C27A288C}" name="Warranty_Years" dataDxfId="4">
      <calculatedColumnFormula>_xlfn.XLOOKUP(E2, Product_Info!A:A, Product_Info!B:B)</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ED693-830C-424B-A33F-554134FD33EA}" name="Table2" displayName="Table2" ref="A1:B5" totalsRowShown="0" headerRowDxfId="3" dataDxfId="2">
  <autoFilter ref="A1:B5" xr:uid="{DC1ED693-830C-424B-A33F-554134FD33EA}"/>
  <tableColumns count="2">
    <tableColumn id="1" xr3:uid="{19977371-917E-4923-BA04-3E74C13ED429}" name="A (Product)" dataDxfId="1"/>
    <tableColumn id="2" xr3:uid="{8C2B6C5D-49D3-4A92-A457-E2C648959680}" name="B (Warranty_Yea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4E0E-A3C3-4FD0-8122-672AED49B809}">
  <dimension ref="A1:L51"/>
  <sheetViews>
    <sheetView tabSelected="1" workbookViewId="0">
      <selection activeCell="N5" sqref="N5"/>
    </sheetView>
  </sheetViews>
  <sheetFormatPr defaultRowHeight="14.4"/>
  <cols>
    <col min="1" max="1" width="10.44140625" customWidth="1"/>
    <col min="2" max="2" width="11.109375" customWidth="1"/>
    <col min="4" max="4" width="13.77734375" customWidth="1"/>
    <col min="5" max="5" width="11.109375" customWidth="1"/>
    <col min="6" max="6" width="13.109375" customWidth="1"/>
    <col min="7" max="7" width="13.21875" customWidth="1"/>
    <col min="8" max="8" width="13.44140625" customWidth="1"/>
    <col min="9" max="9" width="12.88671875" customWidth="1"/>
    <col min="10" max="10" width="14" customWidth="1"/>
    <col min="11" max="11" width="7.77734375" customWidth="1"/>
    <col min="12" max="12" width="15.77734375" customWidth="1"/>
  </cols>
  <sheetData>
    <row r="1" spans="1:12">
      <c r="A1" t="s">
        <v>0</v>
      </c>
      <c r="B1" t="s">
        <v>1</v>
      </c>
      <c r="C1" t="s">
        <v>2</v>
      </c>
      <c r="D1" t="s">
        <v>3</v>
      </c>
      <c r="E1" t="s">
        <v>4</v>
      </c>
      <c r="F1" t="s">
        <v>5</v>
      </c>
      <c r="G1" t="s">
        <v>6</v>
      </c>
      <c r="H1" t="s">
        <v>7</v>
      </c>
      <c r="I1" t="s">
        <v>24</v>
      </c>
      <c r="J1" t="s">
        <v>25</v>
      </c>
      <c r="K1" t="s">
        <v>26</v>
      </c>
      <c r="L1" t="s">
        <v>34</v>
      </c>
    </row>
    <row r="2" spans="1:12">
      <c r="A2">
        <v>1</v>
      </c>
      <c r="B2" s="1">
        <v>45292</v>
      </c>
      <c r="C2" t="s">
        <v>8</v>
      </c>
      <c r="D2" t="s">
        <v>9</v>
      </c>
      <c r="E2" t="s">
        <v>10</v>
      </c>
      <c r="F2" t="s">
        <v>11</v>
      </c>
      <c r="G2">
        <v>2</v>
      </c>
      <c r="H2">
        <v>3200</v>
      </c>
      <c r="I2" s="2">
        <f t="shared" ref="I2:I33" si="0">G2*H2</f>
        <v>6400</v>
      </c>
      <c r="J2" t="str">
        <f t="shared" ref="J2:J33" si="1">IF(I2&gt;=5000,"High","Low")</f>
        <v>High</v>
      </c>
      <c r="K2" t="str">
        <f t="shared" ref="K2:K33" si="2">IF(AND(F2="Electronics", I2 &gt;6000),"Yes","No")</f>
        <v>Yes</v>
      </c>
      <c r="L2">
        <f>_xlfn.XLOOKUP(E2, Product_Info!A:A, Product_Info!B:B)</f>
        <v>2</v>
      </c>
    </row>
    <row r="3" spans="1:12">
      <c r="A3">
        <v>2</v>
      </c>
      <c r="B3" s="1">
        <v>45292</v>
      </c>
      <c r="C3" t="s">
        <v>12</v>
      </c>
      <c r="D3" t="s">
        <v>13</v>
      </c>
      <c r="E3" t="s">
        <v>14</v>
      </c>
      <c r="F3" t="s">
        <v>15</v>
      </c>
      <c r="G3">
        <v>10</v>
      </c>
      <c r="H3">
        <v>80</v>
      </c>
      <c r="I3" s="2">
        <f t="shared" si="0"/>
        <v>800</v>
      </c>
      <c r="J3" t="str">
        <f t="shared" si="1"/>
        <v>Low</v>
      </c>
      <c r="K3" t="str">
        <f t="shared" si="2"/>
        <v>No</v>
      </c>
      <c r="L3">
        <f>_xlfn.XLOOKUP(E3, Product_Info!A:A, Product_Info!B:B)</f>
        <v>1</v>
      </c>
    </row>
    <row r="4" spans="1:12">
      <c r="A4">
        <v>3</v>
      </c>
      <c r="B4" s="1">
        <v>45293</v>
      </c>
      <c r="C4" t="s">
        <v>16</v>
      </c>
      <c r="D4" t="s">
        <v>17</v>
      </c>
      <c r="E4" t="s">
        <v>18</v>
      </c>
      <c r="F4" t="s">
        <v>15</v>
      </c>
      <c r="G4">
        <v>5</v>
      </c>
      <c r="H4">
        <v>120</v>
      </c>
      <c r="I4" s="2">
        <f t="shared" si="0"/>
        <v>600</v>
      </c>
      <c r="J4" t="str">
        <f t="shared" si="1"/>
        <v>Low</v>
      </c>
      <c r="K4" t="str">
        <f t="shared" si="2"/>
        <v>No</v>
      </c>
      <c r="L4">
        <f>_xlfn.XLOOKUP(E4, Product_Info!A:A, Product_Info!B:B)</f>
        <v>1</v>
      </c>
    </row>
    <row r="5" spans="1:12">
      <c r="A5">
        <v>4</v>
      </c>
      <c r="B5" s="1">
        <v>45293</v>
      </c>
      <c r="C5" t="s">
        <v>8</v>
      </c>
      <c r="D5" t="s">
        <v>9</v>
      </c>
      <c r="E5" t="s">
        <v>19</v>
      </c>
      <c r="F5" t="s">
        <v>11</v>
      </c>
      <c r="G5">
        <v>3</v>
      </c>
      <c r="H5">
        <v>900</v>
      </c>
      <c r="I5" s="2">
        <f t="shared" si="0"/>
        <v>2700</v>
      </c>
      <c r="J5" t="str">
        <f t="shared" si="1"/>
        <v>Low</v>
      </c>
      <c r="K5" t="str">
        <f t="shared" si="2"/>
        <v>No</v>
      </c>
      <c r="L5">
        <f>_xlfn.XLOOKUP(E5, Product_Info!A:A, Product_Info!B:B)</f>
        <v>2</v>
      </c>
    </row>
    <row r="6" spans="1:12">
      <c r="A6">
        <v>5</v>
      </c>
      <c r="B6" s="1">
        <v>45294</v>
      </c>
      <c r="C6" t="s">
        <v>20</v>
      </c>
      <c r="D6" t="s">
        <v>13</v>
      </c>
      <c r="E6" t="s">
        <v>21</v>
      </c>
      <c r="F6" t="s">
        <v>15</v>
      </c>
      <c r="G6">
        <v>6</v>
      </c>
      <c r="H6">
        <v>150</v>
      </c>
      <c r="I6" s="2">
        <f t="shared" si="0"/>
        <v>900</v>
      </c>
      <c r="J6" t="str">
        <f t="shared" si="1"/>
        <v>Low</v>
      </c>
      <c r="K6" t="str">
        <f t="shared" si="2"/>
        <v>No</v>
      </c>
      <c r="L6" t="e">
        <f>_xlfn.XLOOKUP(E6, Product_Info!A:A, Product_Info!B:B)</f>
        <v>#N/A</v>
      </c>
    </row>
    <row r="7" spans="1:12">
      <c r="A7">
        <v>6</v>
      </c>
      <c r="B7" s="1">
        <v>45294</v>
      </c>
      <c r="C7" t="s">
        <v>12</v>
      </c>
      <c r="D7" t="s">
        <v>17</v>
      </c>
      <c r="E7" t="s">
        <v>10</v>
      </c>
      <c r="F7" t="s">
        <v>11</v>
      </c>
      <c r="G7">
        <v>1</v>
      </c>
      <c r="H7">
        <v>3200</v>
      </c>
      <c r="I7" s="2">
        <f t="shared" si="0"/>
        <v>3200</v>
      </c>
      <c r="J7" t="str">
        <f t="shared" si="1"/>
        <v>Low</v>
      </c>
      <c r="K7" t="str">
        <f t="shared" si="2"/>
        <v>No</v>
      </c>
      <c r="L7">
        <f>_xlfn.XLOOKUP(E7, Product_Info!A:A, Product_Info!B:B)</f>
        <v>2</v>
      </c>
    </row>
    <row r="8" spans="1:12">
      <c r="A8">
        <v>7</v>
      </c>
      <c r="B8" s="1">
        <v>45295</v>
      </c>
      <c r="C8" t="s">
        <v>8</v>
      </c>
      <c r="D8" t="s">
        <v>22</v>
      </c>
      <c r="E8" t="s">
        <v>23</v>
      </c>
      <c r="F8" t="s">
        <v>11</v>
      </c>
      <c r="G8">
        <v>4</v>
      </c>
      <c r="H8">
        <v>1200</v>
      </c>
      <c r="I8" s="2">
        <f t="shared" si="0"/>
        <v>4800</v>
      </c>
      <c r="J8" t="str">
        <f t="shared" si="1"/>
        <v>Low</v>
      </c>
      <c r="K8" t="str">
        <f t="shared" si="2"/>
        <v>No</v>
      </c>
      <c r="L8" t="e">
        <f>_xlfn.XLOOKUP(E8, Product_Info!A:A, Product_Info!B:B)</f>
        <v>#N/A</v>
      </c>
    </row>
    <row r="9" spans="1:12">
      <c r="A9">
        <v>8</v>
      </c>
      <c r="B9" s="1">
        <v>45295</v>
      </c>
      <c r="C9" t="s">
        <v>16</v>
      </c>
      <c r="D9" t="s">
        <v>9</v>
      </c>
      <c r="E9" t="s">
        <v>14</v>
      </c>
      <c r="F9" t="s">
        <v>15</v>
      </c>
      <c r="G9">
        <v>20</v>
      </c>
      <c r="H9">
        <v>80</v>
      </c>
      <c r="I9" s="2">
        <f t="shared" si="0"/>
        <v>1600</v>
      </c>
      <c r="J9" t="str">
        <f t="shared" si="1"/>
        <v>Low</v>
      </c>
      <c r="K9" t="str">
        <f t="shared" si="2"/>
        <v>No</v>
      </c>
      <c r="L9">
        <f>_xlfn.XLOOKUP(E9, Product_Info!A:A, Product_Info!B:B)</f>
        <v>1</v>
      </c>
    </row>
    <row r="10" spans="1:12">
      <c r="A10">
        <v>9</v>
      </c>
      <c r="B10" s="1">
        <v>45296</v>
      </c>
      <c r="C10" t="s">
        <v>8</v>
      </c>
      <c r="D10" t="s">
        <v>13</v>
      </c>
      <c r="E10" t="s">
        <v>18</v>
      </c>
      <c r="F10" t="s">
        <v>15</v>
      </c>
      <c r="G10">
        <v>7</v>
      </c>
      <c r="H10">
        <v>120</v>
      </c>
      <c r="I10" s="2">
        <f t="shared" si="0"/>
        <v>840</v>
      </c>
      <c r="J10" t="str">
        <f t="shared" si="1"/>
        <v>Low</v>
      </c>
      <c r="K10" t="str">
        <f t="shared" si="2"/>
        <v>No</v>
      </c>
      <c r="L10">
        <f>_xlfn.XLOOKUP(E10, Product_Info!A:A, Product_Info!B:B)</f>
        <v>1</v>
      </c>
    </row>
    <row r="11" spans="1:12">
      <c r="A11">
        <v>10</v>
      </c>
      <c r="B11" s="1">
        <v>45296</v>
      </c>
      <c r="C11" t="s">
        <v>20</v>
      </c>
      <c r="D11" t="s">
        <v>17</v>
      </c>
      <c r="E11" t="s">
        <v>19</v>
      </c>
      <c r="F11" t="s">
        <v>11</v>
      </c>
      <c r="G11">
        <v>2</v>
      </c>
      <c r="H11">
        <v>900</v>
      </c>
      <c r="I11" s="2">
        <f t="shared" si="0"/>
        <v>1800</v>
      </c>
      <c r="J11" t="str">
        <f t="shared" si="1"/>
        <v>Low</v>
      </c>
      <c r="K11" t="str">
        <f t="shared" si="2"/>
        <v>No</v>
      </c>
      <c r="L11">
        <f>_xlfn.XLOOKUP(E11, Product_Info!A:A, Product_Info!B:B)</f>
        <v>2</v>
      </c>
    </row>
    <row r="12" spans="1:12">
      <c r="A12">
        <v>11</v>
      </c>
      <c r="B12" s="1">
        <v>45297</v>
      </c>
      <c r="C12" t="s">
        <v>12</v>
      </c>
      <c r="D12" t="s">
        <v>22</v>
      </c>
      <c r="E12" t="s">
        <v>10</v>
      </c>
      <c r="F12" t="s">
        <v>11</v>
      </c>
      <c r="G12">
        <v>3</v>
      </c>
      <c r="H12">
        <v>3200</v>
      </c>
      <c r="I12" s="2">
        <f t="shared" si="0"/>
        <v>9600</v>
      </c>
      <c r="J12" t="str">
        <f t="shared" si="1"/>
        <v>High</v>
      </c>
      <c r="K12" t="str">
        <f t="shared" si="2"/>
        <v>Yes</v>
      </c>
      <c r="L12">
        <f>_xlfn.XLOOKUP(E12, Product_Info!A:A, Product_Info!B:B)</f>
        <v>2</v>
      </c>
    </row>
    <row r="13" spans="1:12">
      <c r="A13">
        <v>12</v>
      </c>
      <c r="B13" s="1">
        <v>45297</v>
      </c>
      <c r="C13" t="s">
        <v>8</v>
      </c>
      <c r="D13" t="s">
        <v>9</v>
      </c>
      <c r="E13" t="s">
        <v>21</v>
      </c>
      <c r="F13" t="s">
        <v>15</v>
      </c>
      <c r="G13">
        <v>5</v>
      </c>
      <c r="H13">
        <v>150</v>
      </c>
      <c r="I13" s="2">
        <f t="shared" si="0"/>
        <v>750</v>
      </c>
      <c r="J13" t="str">
        <f t="shared" si="1"/>
        <v>Low</v>
      </c>
      <c r="K13" t="str">
        <f t="shared" si="2"/>
        <v>No</v>
      </c>
      <c r="L13" t="e">
        <f>_xlfn.XLOOKUP(E13, Product_Info!A:A, Product_Info!B:B)</f>
        <v>#N/A</v>
      </c>
    </row>
    <row r="14" spans="1:12">
      <c r="A14">
        <v>13</v>
      </c>
      <c r="B14" s="1">
        <v>45298</v>
      </c>
      <c r="C14" t="s">
        <v>16</v>
      </c>
      <c r="D14" t="s">
        <v>13</v>
      </c>
      <c r="E14" t="s">
        <v>23</v>
      </c>
      <c r="F14" t="s">
        <v>11</v>
      </c>
      <c r="G14">
        <v>2</v>
      </c>
      <c r="H14">
        <v>1200</v>
      </c>
      <c r="I14" s="2">
        <f t="shared" si="0"/>
        <v>2400</v>
      </c>
      <c r="J14" t="str">
        <f t="shared" si="1"/>
        <v>Low</v>
      </c>
      <c r="K14" t="str">
        <f t="shared" si="2"/>
        <v>No</v>
      </c>
      <c r="L14" t="e">
        <f>_xlfn.XLOOKUP(E14, Product_Info!A:A, Product_Info!B:B)</f>
        <v>#N/A</v>
      </c>
    </row>
    <row r="15" spans="1:12">
      <c r="A15">
        <v>14</v>
      </c>
      <c r="B15" s="1">
        <v>45298</v>
      </c>
      <c r="C15" t="s">
        <v>20</v>
      </c>
      <c r="D15" t="s">
        <v>17</v>
      </c>
      <c r="E15" t="s">
        <v>14</v>
      </c>
      <c r="F15" t="s">
        <v>15</v>
      </c>
      <c r="G15">
        <v>12</v>
      </c>
      <c r="H15">
        <v>80</v>
      </c>
      <c r="I15" s="2">
        <f t="shared" si="0"/>
        <v>960</v>
      </c>
      <c r="J15" t="str">
        <f t="shared" si="1"/>
        <v>Low</v>
      </c>
      <c r="K15" t="str">
        <f t="shared" si="2"/>
        <v>No</v>
      </c>
      <c r="L15">
        <f>_xlfn.XLOOKUP(E15, Product_Info!A:A, Product_Info!B:B)</f>
        <v>1</v>
      </c>
    </row>
    <row r="16" spans="1:12">
      <c r="A16">
        <v>15</v>
      </c>
      <c r="B16" s="1">
        <v>45299</v>
      </c>
      <c r="C16" t="s">
        <v>8</v>
      </c>
      <c r="D16" t="s">
        <v>22</v>
      </c>
      <c r="E16" t="s">
        <v>18</v>
      </c>
      <c r="F16" t="s">
        <v>15</v>
      </c>
      <c r="G16">
        <v>8</v>
      </c>
      <c r="H16">
        <v>120</v>
      </c>
      <c r="I16" s="2">
        <f t="shared" si="0"/>
        <v>960</v>
      </c>
      <c r="J16" t="str">
        <f t="shared" si="1"/>
        <v>Low</v>
      </c>
      <c r="K16" t="str">
        <f t="shared" si="2"/>
        <v>No</v>
      </c>
      <c r="L16">
        <f>_xlfn.XLOOKUP(E16, Product_Info!A:A, Product_Info!B:B)</f>
        <v>1</v>
      </c>
    </row>
    <row r="17" spans="1:12">
      <c r="A17">
        <v>16</v>
      </c>
      <c r="B17" s="1">
        <v>45299</v>
      </c>
      <c r="C17" t="s">
        <v>12</v>
      </c>
      <c r="D17" t="s">
        <v>9</v>
      </c>
      <c r="E17" t="s">
        <v>19</v>
      </c>
      <c r="F17" t="s">
        <v>11</v>
      </c>
      <c r="G17">
        <v>1</v>
      </c>
      <c r="H17">
        <v>900</v>
      </c>
      <c r="I17" s="2">
        <f t="shared" si="0"/>
        <v>900</v>
      </c>
      <c r="J17" t="str">
        <f t="shared" si="1"/>
        <v>Low</v>
      </c>
      <c r="K17" t="str">
        <f t="shared" si="2"/>
        <v>No</v>
      </c>
      <c r="L17">
        <f>_xlfn.XLOOKUP(E17, Product_Info!A:A, Product_Info!B:B)</f>
        <v>2</v>
      </c>
    </row>
    <row r="18" spans="1:12">
      <c r="A18">
        <v>17</v>
      </c>
      <c r="B18" s="1">
        <v>45300</v>
      </c>
      <c r="C18" t="s">
        <v>16</v>
      </c>
      <c r="D18" t="s">
        <v>17</v>
      </c>
      <c r="E18" t="s">
        <v>10</v>
      </c>
      <c r="F18" t="s">
        <v>11</v>
      </c>
      <c r="G18">
        <v>2</v>
      </c>
      <c r="H18">
        <v>3200</v>
      </c>
      <c r="I18" s="2">
        <f t="shared" si="0"/>
        <v>6400</v>
      </c>
      <c r="J18" t="str">
        <f t="shared" si="1"/>
        <v>High</v>
      </c>
      <c r="K18" t="str">
        <f t="shared" si="2"/>
        <v>Yes</v>
      </c>
      <c r="L18">
        <f>_xlfn.XLOOKUP(E18, Product_Info!A:A, Product_Info!B:B)</f>
        <v>2</v>
      </c>
    </row>
    <row r="19" spans="1:12">
      <c r="A19">
        <v>18</v>
      </c>
      <c r="B19" s="1">
        <v>45300</v>
      </c>
      <c r="C19" t="s">
        <v>20</v>
      </c>
      <c r="D19" t="s">
        <v>13</v>
      </c>
      <c r="E19" t="s">
        <v>21</v>
      </c>
      <c r="F19" t="s">
        <v>15</v>
      </c>
      <c r="G19">
        <v>9</v>
      </c>
      <c r="H19">
        <v>150</v>
      </c>
      <c r="I19" s="2">
        <f t="shared" si="0"/>
        <v>1350</v>
      </c>
      <c r="J19" t="str">
        <f t="shared" si="1"/>
        <v>Low</v>
      </c>
      <c r="K19" t="str">
        <f t="shared" si="2"/>
        <v>No</v>
      </c>
      <c r="L19" t="e">
        <f>_xlfn.XLOOKUP(E19, Product_Info!A:A, Product_Info!B:B)</f>
        <v>#N/A</v>
      </c>
    </row>
    <row r="20" spans="1:12">
      <c r="A20">
        <v>19</v>
      </c>
      <c r="B20" s="1">
        <v>45301</v>
      </c>
      <c r="C20" t="s">
        <v>8</v>
      </c>
      <c r="D20" t="s">
        <v>9</v>
      </c>
      <c r="E20" t="s">
        <v>23</v>
      </c>
      <c r="F20" t="s">
        <v>11</v>
      </c>
      <c r="G20">
        <v>3</v>
      </c>
      <c r="H20">
        <v>1200</v>
      </c>
      <c r="I20" s="2">
        <f t="shared" si="0"/>
        <v>3600</v>
      </c>
      <c r="J20" t="str">
        <f t="shared" si="1"/>
        <v>Low</v>
      </c>
      <c r="K20" t="str">
        <f t="shared" si="2"/>
        <v>No</v>
      </c>
      <c r="L20" t="e">
        <f>_xlfn.XLOOKUP(E20, Product_Info!A:A, Product_Info!B:B)</f>
        <v>#N/A</v>
      </c>
    </row>
    <row r="21" spans="1:12">
      <c r="A21">
        <v>20</v>
      </c>
      <c r="B21" s="1">
        <v>45301</v>
      </c>
      <c r="C21" t="s">
        <v>12</v>
      </c>
      <c r="D21" t="s">
        <v>22</v>
      </c>
      <c r="E21" t="s">
        <v>14</v>
      </c>
      <c r="F21" t="s">
        <v>15</v>
      </c>
      <c r="G21">
        <v>25</v>
      </c>
      <c r="H21">
        <v>80</v>
      </c>
      <c r="I21" s="2">
        <f t="shared" si="0"/>
        <v>2000</v>
      </c>
      <c r="J21" t="str">
        <f t="shared" si="1"/>
        <v>Low</v>
      </c>
      <c r="K21" t="str">
        <f t="shared" si="2"/>
        <v>No</v>
      </c>
      <c r="L21">
        <f>_xlfn.XLOOKUP(E21, Product_Info!A:A, Product_Info!B:B)</f>
        <v>1</v>
      </c>
    </row>
    <row r="22" spans="1:12">
      <c r="A22">
        <v>21</v>
      </c>
      <c r="B22" s="1">
        <v>45302</v>
      </c>
      <c r="C22" t="s">
        <v>16</v>
      </c>
      <c r="D22" t="s">
        <v>13</v>
      </c>
      <c r="E22" t="s">
        <v>18</v>
      </c>
      <c r="F22" t="s">
        <v>15</v>
      </c>
      <c r="G22">
        <v>6</v>
      </c>
      <c r="H22">
        <v>120</v>
      </c>
      <c r="I22" s="2">
        <f t="shared" si="0"/>
        <v>720</v>
      </c>
      <c r="J22" t="str">
        <f t="shared" si="1"/>
        <v>Low</v>
      </c>
      <c r="K22" t="str">
        <f t="shared" si="2"/>
        <v>No</v>
      </c>
      <c r="L22">
        <f>_xlfn.XLOOKUP(E22, Product_Info!A:A, Product_Info!B:B)</f>
        <v>1</v>
      </c>
    </row>
    <row r="23" spans="1:12">
      <c r="A23">
        <v>22</v>
      </c>
      <c r="B23" s="1">
        <v>45302</v>
      </c>
      <c r="C23" t="s">
        <v>20</v>
      </c>
      <c r="D23" t="s">
        <v>17</v>
      </c>
      <c r="E23" t="s">
        <v>19</v>
      </c>
      <c r="F23" t="s">
        <v>11</v>
      </c>
      <c r="G23">
        <v>2</v>
      </c>
      <c r="H23">
        <v>900</v>
      </c>
      <c r="I23" s="2">
        <f t="shared" si="0"/>
        <v>1800</v>
      </c>
      <c r="J23" t="str">
        <f t="shared" si="1"/>
        <v>Low</v>
      </c>
      <c r="K23" t="str">
        <f t="shared" si="2"/>
        <v>No</v>
      </c>
      <c r="L23">
        <f>_xlfn.XLOOKUP(E23, Product_Info!A:A, Product_Info!B:B)</f>
        <v>2</v>
      </c>
    </row>
    <row r="24" spans="1:12">
      <c r="A24">
        <v>23</v>
      </c>
      <c r="B24" s="1">
        <v>45303</v>
      </c>
      <c r="C24" t="s">
        <v>8</v>
      </c>
      <c r="D24" t="s">
        <v>22</v>
      </c>
      <c r="E24" t="s">
        <v>10</v>
      </c>
      <c r="F24" t="s">
        <v>11</v>
      </c>
      <c r="G24">
        <v>1</v>
      </c>
      <c r="H24">
        <v>3200</v>
      </c>
      <c r="I24" s="2">
        <f t="shared" si="0"/>
        <v>3200</v>
      </c>
      <c r="J24" t="str">
        <f t="shared" si="1"/>
        <v>Low</v>
      </c>
      <c r="K24" t="str">
        <f t="shared" si="2"/>
        <v>No</v>
      </c>
      <c r="L24">
        <f>_xlfn.XLOOKUP(E24, Product_Info!A:A, Product_Info!B:B)</f>
        <v>2</v>
      </c>
    </row>
    <row r="25" spans="1:12">
      <c r="A25">
        <v>24</v>
      </c>
      <c r="B25" s="1">
        <v>45303</v>
      </c>
      <c r="C25" t="s">
        <v>12</v>
      </c>
      <c r="D25" t="s">
        <v>9</v>
      </c>
      <c r="E25" t="s">
        <v>21</v>
      </c>
      <c r="F25" t="s">
        <v>15</v>
      </c>
      <c r="G25">
        <v>4</v>
      </c>
      <c r="H25">
        <v>150</v>
      </c>
      <c r="I25" s="2">
        <f t="shared" si="0"/>
        <v>600</v>
      </c>
      <c r="J25" t="str">
        <f t="shared" si="1"/>
        <v>Low</v>
      </c>
      <c r="K25" t="str">
        <f t="shared" si="2"/>
        <v>No</v>
      </c>
      <c r="L25" t="e">
        <f>_xlfn.XLOOKUP(E25, Product_Info!A:A, Product_Info!B:B)</f>
        <v>#N/A</v>
      </c>
    </row>
    <row r="26" spans="1:12">
      <c r="A26">
        <v>25</v>
      </c>
      <c r="B26" s="1">
        <v>45304</v>
      </c>
      <c r="C26" t="s">
        <v>16</v>
      </c>
      <c r="D26" t="s">
        <v>17</v>
      </c>
      <c r="E26" t="s">
        <v>23</v>
      </c>
      <c r="F26" t="s">
        <v>11</v>
      </c>
      <c r="G26">
        <v>2</v>
      </c>
      <c r="H26">
        <v>1200</v>
      </c>
      <c r="I26" s="2">
        <f t="shared" si="0"/>
        <v>2400</v>
      </c>
      <c r="J26" t="str">
        <f t="shared" si="1"/>
        <v>Low</v>
      </c>
      <c r="K26" t="str">
        <f t="shared" si="2"/>
        <v>No</v>
      </c>
      <c r="L26" t="e">
        <f>_xlfn.XLOOKUP(E26, Product_Info!A:A, Product_Info!B:B)</f>
        <v>#N/A</v>
      </c>
    </row>
    <row r="27" spans="1:12">
      <c r="A27">
        <v>26</v>
      </c>
      <c r="B27" s="1">
        <v>45304</v>
      </c>
      <c r="C27" t="s">
        <v>20</v>
      </c>
      <c r="D27" t="s">
        <v>13</v>
      </c>
      <c r="E27" t="s">
        <v>14</v>
      </c>
      <c r="F27" t="s">
        <v>15</v>
      </c>
      <c r="G27">
        <v>15</v>
      </c>
      <c r="H27">
        <v>80</v>
      </c>
      <c r="I27" s="2">
        <f t="shared" si="0"/>
        <v>1200</v>
      </c>
      <c r="J27" t="str">
        <f t="shared" si="1"/>
        <v>Low</v>
      </c>
      <c r="K27" t="str">
        <f t="shared" si="2"/>
        <v>No</v>
      </c>
      <c r="L27">
        <f>_xlfn.XLOOKUP(E27, Product_Info!A:A, Product_Info!B:B)</f>
        <v>1</v>
      </c>
    </row>
    <row r="28" spans="1:12">
      <c r="A28">
        <v>27</v>
      </c>
      <c r="B28" s="1">
        <v>45305</v>
      </c>
      <c r="C28" t="s">
        <v>8</v>
      </c>
      <c r="D28" t="s">
        <v>9</v>
      </c>
      <c r="E28" t="s">
        <v>18</v>
      </c>
      <c r="F28" t="s">
        <v>15</v>
      </c>
      <c r="G28">
        <v>10</v>
      </c>
      <c r="H28">
        <v>120</v>
      </c>
      <c r="I28">
        <f t="shared" si="0"/>
        <v>1200</v>
      </c>
      <c r="J28" t="str">
        <f t="shared" si="1"/>
        <v>Low</v>
      </c>
      <c r="K28" t="str">
        <f t="shared" si="2"/>
        <v>No</v>
      </c>
      <c r="L28">
        <f>_xlfn.XLOOKUP(E28, Product_Info!A:A, Product_Info!B:B)</f>
        <v>1</v>
      </c>
    </row>
    <row r="29" spans="1:12">
      <c r="A29">
        <v>28</v>
      </c>
      <c r="B29" s="1">
        <v>45305</v>
      </c>
      <c r="C29" t="s">
        <v>12</v>
      </c>
      <c r="D29" t="s">
        <v>22</v>
      </c>
      <c r="E29" t="s">
        <v>19</v>
      </c>
      <c r="F29" t="s">
        <v>11</v>
      </c>
      <c r="G29">
        <v>3</v>
      </c>
      <c r="H29">
        <v>900</v>
      </c>
      <c r="I29">
        <f t="shared" si="0"/>
        <v>2700</v>
      </c>
      <c r="J29" t="str">
        <f t="shared" si="1"/>
        <v>Low</v>
      </c>
      <c r="K29" t="str">
        <f t="shared" si="2"/>
        <v>No</v>
      </c>
      <c r="L29">
        <f>_xlfn.XLOOKUP(E29, Product_Info!A:A, Product_Info!B:B)</f>
        <v>2</v>
      </c>
    </row>
    <row r="30" spans="1:12">
      <c r="A30">
        <v>29</v>
      </c>
      <c r="B30" s="1">
        <v>45306</v>
      </c>
      <c r="C30" t="s">
        <v>16</v>
      </c>
      <c r="D30" t="s">
        <v>13</v>
      </c>
      <c r="E30" t="s">
        <v>10</v>
      </c>
      <c r="F30" t="s">
        <v>11</v>
      </c>
      <c r="G30">
        <v>2</v>
      </c>
      <c r="H30">
        <v>3200</v>
      </c>
      <c r="I30">
        <f t="shared" si="0"/>
        <v>6400</v>
      </c>
      <c r="J30" t="str">
        <f t="shared" si="1"/>
        <v>High</v>
      </c>
      <c r="K30" t="str">
        <f t="shared" si="2"/>
        <v>Yes</v>
      </c>
      <c r="L30">
        <f>_xlfn.XLOOKUP(E30, Product_Info!A:A, Product_Info!B:B)</f>
        <v>2</v>
      </c>
    </row>
    <row r="31" spans="1:12">
      <c r="A31">
        <v>30</v>
      </c>
      <c r="B31" s="1">
        <v>45306</v>
      </c>
      <c r="C31" t="s">
        <v>20</v>
      </c>
      <c r="D31" t="s">
        <v>17</v>
      </c>
      <c r="E31" t="s">
        <v>21</v>
      </c>
      <c r="F31" t="s">
        <v>15</v>
      </c>
      <c r="G31">
        <v>7</v>
      </c>
      <c r="H31">
        <v>150</v>
      </c>
      <c r="I31">
        <f t="shared" si="0"/>
        <v>1050</v>
      </c>
      <c r="J31" t="str">
        <f t="shared" si="1"/>
        <v>Low</v>
      </c>
      <c r="K31" t="str">
        <f t="shared" si="2"/>
        <v>No</v>
      </c>
      <c r="L31" t="e">
        <f>_xlfn.XLOOKUP(E31, Product_Info!A:A, Product_Info!B:B)</f>
        <v>#N/A</v>
      </c>
    </row>
    <row r="32" spans="1:12">
      <c r="A32">
        <v>31</v>
      </c>
      <c r="B32" s="1">
        <v>45307</v>
      </c>
      <c r="C32" t="s">
        <v>8</v>
      </c>
      <c r="D32" t="s">
        <v>22</v>
      </c>
      <c r="E32" t="s">
        <v>23</v>
      </c>
      <c r="F32" t="s">
        <v>11</v>
      </c>
      <c r="G32">
        <v>4</v>
      </c>
      <c r="H32">
        <v>1200</v>
      </c>
      <c r="I32">
        <f t="shared" si="0"/>
        <v>4800</v>
      </c>
      <c r="J32" t="str">
        <f t="shared" si="1"/>
        <v>Low</v>
      </c>
      <c r="K32" t="str">
        <f t="shared" si="2"/>
        <v>No</v>
      </c>
      <c r="L32" t="e">
        <f>_xlfn.XLOOKUP(E32, Product_Info!A:A, Product_Info!B:B)</f>
        <v>#N/A</v>
      </c>
    </row>
    <row r="33" spans="1:12">
      <c r="A33">
        <v>32</v>
      </c>
      <c r="B33" s="1">
        <v>45307</v>
      </c>
      <c r="C33" t="s">
        <v>12</v>
      </c>
      <c r="D33" t="s">
        <v>9</v>
      </c>
      <c r="E33" t="s">
        <v>14</v>
      </c>
      <c r="F33" t="s">
        <v>15</v>
      </c>
      <c r="G33">
        <v>30</v>
      </c>
      <c r="H33">
        <v>80</v>
      </c>
      <c r="I33">
        <f t="shared" si="0"/>
        <v>2400</v>
      </c>
      <c r="J33" t="str">
        <f t="shared" si="1"/>
        <v>Low</v>
      </c>
      <c r="K33" t="str">
        <f t="shared" si="2"/>
        <v>No</v>
      </c>
      <c r="L33">
        <f>_xlfn.XLOOKUP(E33, Product_Info!A:A, Product_Info!B:B)</f>
        <v>1</v>
      </c>
    </row>
    <row r="34" spans="1:12">
      <c r="A34">
        <v>33</v>
      </c>
      <c r="B34" s="1">
        <v>45308</v>
      </c>
      <c r="C34" t="s">
        <v>16</v>
      </c>
      <c r="D34" t="s">
        <v>17</v>
      </c>
      <c r="E34" t="s">
        <v>18</v>
      </c>
      <c r="F34" t="s">
        <v>15</v>
      </c>
      <c r="G34">
        <v>9</v>
      </c>
      <c r="H34">
        <v>120</v>
      </c>
      <c r="I34">
        <f t="shared" ref="I34:I51" si="3">G34*H34</f>
        <v>1080</v>
      </c>
      <c r="J34" t="str">
        <f t="shared" ref="J34:J51" si="4">IF(I34&gt;=5000,"High","Low")</f>
        <v>Low</v>
      </c>
      <c r="K34" t="str">
        <f t="shared" ref="K34:K51" si="5">IF(AND(F34="Electronics", I34 &gt;6000),"Yes","No")</f>
        <v>No</v>
      </c>
      <c r="L34">
        <f>_xlfn.XLOOKUP(E34, Product_Info!A:A, Product_Info!B:B)</f>
        <v>1</v>
      </c>
    </row>
    <row r="35" spans="1:12">
      <c r="A35">
        <v>34</v>
      </c>
      <c r="B35" s="1">
        <v>45308</v>
      </c>
      <c r="C35" t="s">
        <v>20</v>
      </c>
      <c r="D35" t="s">
        <v>13</v>
      </c>
      <c r="E35" t="s">
        <v>19</v>
      </c>
      <c r="F35" t="s">
        <v>11</v>
      </c>
      <c r="G35">
        <v>1</v>
      </c>
      <c r="H35">
        <v>900</v>
      </c>
      <c r="I35">
        <f t="shared" si="3"/>
        <v>900</v>
      </c>
      <c r="J35" t="str">
        <f t="shared" si="4"/>
        <v>Low</v>
      </c>
      <c r="K35" t="str">
        <f t="shared" si="5"/>
        <v>No</v>
      </c>
      <c r="L35">
        <f>_xlfn.XLOOKUP(E35, Product_Info!A:A, Product_Info!B:B)</f>
        <v>2</v>
      </c>
    </row>
    <row r="36" spans="1:12">
      <c r="A36">
        <v>35</v>
      </c>
      <c r="B36" s="1">
        <v>45309</v>
      </c>
      <c r="C36" t="s">
        <v>8</v>
      </c>
      <c r="D36" t="s">
        <v>9</v>
      </c>
      <c r="E36" t="s">
        <v>10</v>
      </c>
      <c r="F36" t="s">
        <v>11</v>
      </c>
      <c r="G36">
        <v>3</v>
      </c>
      <c r="H36">
        <v>3200</v>
      </c>
      <c r="I36">
        <f t="shared" si="3"/>
        <v>9600</v>
      </c>
      <c r="J36" t="str">
        <f t="shared" si="4"/>
        <v>High</v>
      </c>
      <c r="K36" t="str">
        <f t="shared" si="5"/>
        <v>Yes</v>
      </c>
      <c r="L36">
        <f>_xlfn.XLOOKUP(E36, Product_Info!A:A, Product_Info!B:B)</f>
        <v>2</v>
      </c>
    </row>
    <row r="37" spans="1:12">
      <c r="A37">
        <v>36</v>
      </c>
      <c r="B37" s="1">
        <v>45309</v>
      </c>
      <c r="C37" t="s">
        <v>12</v>
      </c>
      <c r="D37" t="s">
        <v>22</v>
      </c>
      <c r="E37" t="s">
        <v>21</v>
      </c>
      <c r="F37" t="s">
        <v>15</v>
      </c>
      <c r="G37">
        <v>6</v>
      </c>
      <c r="H37">
        <v>150</v>
      </c>
      <c r="I37">
        <f t="shared" si="3"/>
        <v>900</v>
      </c>
      <c r="J37" t="str">
        <f t="shared" si="4"/>
        <v>Low</v>
      </c>
      <c r="K37" t="str">
        <f t="shared" si="5"/>
        <v>No</v>
      </c>
      <c r="L37" t="e">
        <f>_xlfn.XLOOKUP(E37, Product_Info!A:A, Product_Info!B:B)</f>
        <v>#N/A</v>
      </c>
    </row>
    <row r="38" spans="1:12">
      <c r="A38">
        <v>37</v>
      </c>
      <c r="B38" s="1">
        <v>45310</v>
      </c>
      <c r="C38" t="s">
        <v>16</v>
      </c>
      <c r="D38" t="s">
        <v>13</v>
      </c>
      <c r="E38" t="s">
        <v>23</v>
      </c>
      <c r="F38" t="s">
        <v>11</v>
      </c>
      <c r="G38">
        <v>2</v>
      </c>
      <c r="H38">
        <v>1200</v>
      </c>
      <c r="I38">
        <f t="shared" si="3"/>
        <v>2400</v>
      </c>
      <c r="J38" t="str">
        <f t="shared" si="4"/>
        <v>Low</v>
      </c>
      <c r="K38" t="str">
        <f t="shared" si="5"/>
        <v>No</v>
      </c>
      <c r="L38" t="e">
        <f>_xlfn.XLOOKUP(E38, Product_Info!A:A, Product_Info!B:B)</f>
        <v>#N/A</v>
      </c>
    </row>
    <row r="39" spans="1:12">
      <c r="A39">
        <v>38</v>
      </c>
      <c r="B39" s="1">
        <v>45310</v>
      </c>
      <c r="C39" t="s">
        <v>20</v>
      </c>
      <c r="D39" t="s">
        <v>17</v>
      </c>
      <c r="E39" t="s">
        <v>14</v>
      </c>
      <c r="F39" t="s">
        <v>15</v>
      </c>
      <c r="G39">
        <v>18</v>
      </c>
      <c r="H39">
        <v>80</v>
      </c>
      <c r="I39">
        <f t="shared" si="3"/>
        <v>1440</v>
      </c>
      <c r="J39" t="str">
        <f t="shared" si="4"/>
        <v>Low</v>
      </c>
      <c r="K39" t="str">
        <f t="shared" si="5"/>
        <v>No</v>
      </c>
      <c r="L39">
        <f>_xlfn.XLOOKUP(E39, Product_Info!A:A, Product_Info!B:B)</f>
        <v>1</v>
      </c>
    </row>
    <row r="40" spans="1:12">
      <c r="A40">
        <v>39</v>
      </c>
      <c r="B40" s="1">
        <v>45311</v>
      </c>
      <c r="C40" t="s">
        <v>8</v>
      </c>
      <c r="D40" t="s">
        <v>22</v>
      </c>
      <c r="E40" t="s">
        <v>18</v>
      </c>
      <c r="F40" t="s">
        <v>15</v>
      </c>
      <c r="G40">
        <v>11</v>
      </c>
      <c r="H40">
        <v>120</v>
      </c>
      <c r="I40">
        <f t="shared" si="3"/>
        <v>1320</v>
      </c>
      <c r="J40" t="str">
        <f t="shared" si="4"/>
        <v>Low</v>
      </c>
      <c r="K40" t="str">
        <f t="shared" si="5"/>
        <v>No</v>
      </c>
      <c r="L40">
        <f>_xlfn.XLOOKUP(E40, Product_Info!A:A, Product_Info!B:B)</f>
        <v>1</v>
      </c>
    </row>
    <row r="41" spans="1:12">
      <c r="A41">
        <v>40</v>
      </c>
      <c r="B41" s="1">
        <v>45311</v>
      </c>
      <c r="C41" t="s">
        <v>12</v>
      </c>
      <c r="D41" t="s">
        <v>9</v>
      </c>
      <c r="E41" t="s">
        <v>19</v>
      </c>
      <c r="F41" t="s">
        <v>11</v>
      </c>
      <c r="G41">
        <v>2</v>
      </c>
      <c r="H41">
        <v>900</v>
      </c>
      <c r="I41">
        <f t="shared" si="3"/>
        <v>1800</v>
      </c>
      <c r="J41" t="str">
        <f t="shared" si="4"/>
        <v>Low</v>
      </c>
      <c r="K41" t="str">
        <f t="shared" si="5"/>
        <v>No</v>
      </c>
      <c r="L41">
        <f>_xlfn.XLOOKUP(E41, Product_Info!A:A, Product_Info!B:B)</f>
        <v>2</v>
      </c>
    </row>
    <row r="42" spans="1:12">
      <c r="A42">
        <v>41</v>
      </c>
      <c r="B42" s="1">
        <v>45312</v>
      </c>
      <c r="C42" t="s">
        <v>16</v>
      </c>
      <c r="D42" t="s">
        <v>17</v>
      </c>
      <c r="E42" t="s">
        <v>10</v>
      </c>
      <c r="F42" t="s">
        <v>11</v>
      </c>
      <c r="G42">
        <v>1</v>
      </c>
      <c r="H42">
        <v>3200</v>
      </c>
      <c r="I42">
        <f t="shared" si="3"/>
        <v>3200</v>
      </c>
      <c r="J42" t="str">
        <f t="shared" si="4"/>
        <v>Low</v>
      </c>
      <c r="K42" t="str">
        <f t="shared" si="5"/>
        <v>No</v>
      </c>
      <c r="L42">
        <f>_xlfn.XLOOKUP(E42, Product_Info!A:A, Product_Info!B:B)</f>
        <v>2</v>
      </c>
    </row>
    <row r="43" spans="1:12">
      <c r="A43">
        <v>42</v>
      </c>
      <c r="B43" s="1">
        <v>45312</v>
      </c>
      <c r="C43" t="s">
        <v>20</v>
      </c>
      <c r="D43" t="s">
        <v>13</v>
      </c>
      <c r="E43" t="s">
        <v>21</v>
      </c>
      <c r="F43" t="s">
        <v>15</v>
      </c>
      <c r="G43">
        <v>8</v>
      </c>
      <c r="H43">
        <v>150</v>
      </c>
      <c r="I43">
        <f t="shared" si="3"/>
        <v>1200</v>
      </c>
      <c r="J43" t="str">
        <f t="shared" si="4"/>
        <v>Low</v>
      </c>
      <c r="K43" t="str">
        <f t="shared" si="5"/>
        <v>No</v>
      </c>
      <c r="L43" t="e">
        <f>_xlfn.XLOOKUP(E43, Product_Info!A:A, Product_Info!B:B)</f>
        <v>#N/A</v>
      </c>
    </row>
    <row r="44" spans="1:12">
      <c r="A44">
        <v>43</v>
      </c>
      <c r="B44" s="1">
        <v>45313</v>
      </c>
      <c r="C44" t="s">
        <v>8</v>
      </c>
      <c r="D44" t="s">
        <v>9</v>
      </c>
      <c r="E44" t="s">
        <v>23</v>
      </c>
      <c r="F44" t="s">
        <v>11</v>
      </c>
      <c r="G44">
        <v>5</v>
      </c>
      <c r="H44">
        <v>1200</v>
      </c>
      <c r="I44">
        <f t="shared" si="3"/>
        <v>6000</v>
      </c>
      <c r="J44" t="str">
        <f t="shared" si="4"/>
        <v>High</v>
      </c>
      <c r="K44" t="str">
        <f t="shared" si="5"/>
        <v>No</v>
      </c>
      <c r="L44" t="e">
        <f>_xlfn.XLOOKUP(E44, Product_Info!A:A, Product_Info!B:B)</f>
        <v>#N/A</v>
      </c>
    </row>
    <row r="45" spans="1:12">
      <c r="A45">
        <v>44</v>
      </c>
      <c r="B45" s="1">
        <v>45313</v>
      </c>
      <c r="C45" t="s">
        <v>12</v>
      </c>
      <c r="D45" t="s">
        <v>22</v>
      </c>
      <c r="E45" t="s">
        <v>14</v>
      </c>
      <c r="F45" t="s">
        <v>15</v>
      </c>
      <c r="G45">
        <v>22</v>
      </c>
      <c r="H45">
        <v>80</v>
      </c>
      <c r="I45">
        <f t="shared" si="3"/>
        <v>1760</v>
      </c>
      <c r="J45" t="str">
        <f t="shared" si="4"/>
        <v>Low</v>
      </c>
      <c r="K45" t="str">
        <f t="shared" si="5"/>
        <v>No</v>
      </c>
      <c r="L45">
        <f>_xlfn.XLOOKUP(E45, Product_Info!A:A, Product_Info!B:B)</f>
        <v>1</v>
      </c>
    </row>
    <row r="46" spans="1:12">
      <c r="A46">
        <v>45</v>
      </c>
      <c r="B46" s="1">
        <v>45314</v>
      </c>
      <c r="C46" t="s">
        <v>16</v>
      </c>
      <c r="D46" t="s">
        <v>13</v>
      </c>
      <c r="E46" t="s">
        <v>18</v>
      </c>
      <c r="F46" t="s">
        <v>15</v>
      </c>
      <c r="G46">
        <v>7</v>
      </c>
      <c r="H46">
        <v>120</v>
      </c>
      <c r="I46">
        <f t="shared" si="3"/>
        <v>840</v>
      </c>
      <c r="J46" t="str">
        <f t="shared" si="4"/>
        <v>Low</v>
      </c>
      <c r="K46" t="str">
        <f t="shared" si="5"/>
        <v>No</v>
      </c>
      <c r="L46">
        <f>_xlfn.XLOOKUP(E46, Product_Info!A:A, Product_Info!B:B)</f>
        <v>1</v>
      </c>
    </row>
    <row r="47" spans="1:12">
      <c r="A47">
        <v>46</v>
      </c>
      <c r="B47" s="1">
        <v>45314</v>
      </c>
      <c r="C47" t="s">
        <v>20</v>
      </c>
      <c r="D47" t="s">
        <v>17</v>
      </c>
      <c r="E47" t="s">
        <v>19</v>
      </c>
      <c r="F47" t="s">
        <v>11</v>
      </c>
      <c r="G47">
        <v>2</v>
      </c>
      <c r="H47">
        <v>900</v>
      </c>
      <c r="I47">
        <f t="shared" si="3"/>
        <v>1800</v>
      </c>
      <c r="J47" t="str">
        <f t="shared" si="4"/>
        <v>Low</v>
      </c>
      <c r="K47" t="str">
        <f t="shared" si="5"/>
        <v>No</v>
      </c>
      <c r="L47">
        <f>_xlfn.XLOOKUP(E47, Product_Info!A:A, Product_Info!B:B)</f>
        <v>2</v>
      </c>
    </row>
    <row r="48" spans="1:12">
      <c r="A48">
        <v>47</v>
      </c>
      <c r="B48" s="1">
        <v>45315</v>
      </c>
      <c r="C48" t="s">
        <v>8</v>
      </c>
      <c r="D48" t="s">
        <v>22</v>
      </c>
      <c r="E48" t="s">
        <v>10</v>
      </c>
      <c r="F48" t="s">
        <v>11</v>
      </c>
      <c r="G48">
        <v>2</v>
      </c>
      <c r="H48">
        <v>3200</v>
      </c>
      <c r="I48">
        <f t="shared" si="3"/>
        <v>6400</v>
      </c>
      <c r="J48" t="str">
        <f t="shared" si="4"/>
        <v>High</v>
      </c>
      <c r="K48" t="str">
        <f t="shared" si="5"/>
        <v>Yes</v>
      </c>
      <c r="L48">
        <f>_xlfn.XLOOKUP(E48, Product_Info!A:A, Product_Info!B:B)</f>
        <v>2</v>
      </c>
    </row>
    <row r="49" spans="1:12">
      <c r="A49">
        <v>48</v>
      </c>
      <c r="B49" s="1">
        <v>45315</v>
      </c>
      <c r="C49" t="s">
        <v>12</v>
      </c>
      <c r="D49" t="s">
        <v>9</v>
      </c>
      <c r="E49" t="s">
        <v>21</v>
      </c>
      <c r="F49" t="s">
        <v>15</v>
      </c>
      <c r="G49">
        <v>5</v>
      </c>
      <c r="H49">
        <v>150</v>
      </c>
      <c r="I49">
        <f t="shared" si="3"/>
        <v>750</v>
      </c>
      <c r="J49" t="str">
        <f t="shared" si="4"/>
        <v>Low</v>
      </c>
      <c r="K49" t="str">
        <f t="shared" si="5"/>
        <v>No</v>
      </c>
      <c r="L49" t="e">
        <f>_xlfn.XLOOKUP(E49, Product_Info!A:A, Product_Info!B:B)</f>
        <v>#N/A</v>
      </c>
    </row>
    <row r="50" spans="1:12">
      <c r="A50">
        <v>49</v>
      </c>
      <c r="B50" s="1">
        <v>45316</v>
      </c>
      <c r="C50" t="s">
        <v>16</v>
      </c>
      <c r="D50" t="s">
        <v>17</v>
      </c>
      <c r="E50" t="s">
        <v>23</v>
      </c>
      <c r="F50" t="s">
        <v>11</v>
      </c>
      <c r="G50">
        <v>3</v>
      </c>
      <c r="H50">
        <v>1200</v>
      </c>
      <c r="I50">
        <f t="shared" si="3"/>
        <v>3600</v>
      </c>
      <c r="J50" t="str">
        <f t="shared" si="4"/>
        <v>Low</v>
      </c>
      <c r="K50" t="str">
        <f t="shared" si="5"/>
        <v>No</v>
      </c>
      <c r="L50" t="e">
        <f>_xlfn.XLOOKUP(E50, Product_Info!A:A, Product_Info!B:B)</f>
        <v>#N/A</v>
      </c>
    </row>
    <row r="51" spans="1:12">
      <c r="A51">
        <v>50</v>
      </c>
      <c r="B51" s="1">
        <v>45316</v>
      </c>
      <c r="C51" t="s">
        <v>20</v>
      </c>
      <c r="D51" t="s">
        <v>13</v>
      </c>
      <c r="E51" t="s">
        <v>14</v>
      </c>
      <c r="F51" t="s">
        <v>15</v>
      </c>
      <c r="G51">
        <v>16</v>
      </c>
      <c r="H51">
        <v>80</v>
      </c>
      <c r="I51">
        <f t="shared" si="3"/>
        <v>1280</v>
      </c>
      <c r="J51" t="str">
        <f t="shared" si="4"/>
        <v>Low</v>
      </c>
      <c r="K51" t="str">
        <f t="shared" si="5"/>
        <v>No</v>
      </c>
      <c r="L51">
        <f>_xlfn.XLOOKUP(E51, Product_Info!A:A, Product_Info!B:B)</f>
        <v>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E643-647C-4EC0-852E-853195411927}">
  <dimension ref="A1:B5"/>
  <sheetViews>
    <sheetView workbookViewId="0">
      <selection activeCell="G8" sqref="G8"/>
    </sheetView>
  </sheetViews>
  <sheetFormatPr defaultRowHeight="14.4"/>
  <cols>
    <col min="1" max="1" width="12.5546875" customWidth="1"/>
    <col min="2" max="2" width="19.109375" customWidth="1"/>
  </cols>
  <sheetData>
    <row r="1" spans="1:2">
      <c r="A1" s="5" t="s">
        <v>32</v>
      </c>
      <c r="B1" s="5" t="s">
        <v>33</v>
      </c>
    </row>
    <row r="2" spans="1:2">
      <c r="A2" s="6" t="s">
        <v>10</v>
      </c>
      <c r="B2" s="6">
        <v>2</v>
      </c>
    </row>
    <row r="3" spans="1:2">
      <c r="A3" s="6" t="s">
        <v>19</v>
      </c>
      <c r="B3" s="6">
        <v>2</v>
      </c>
    </row>
    <row r="4" spans="1:2">
      <c r="A4" s="6" t="s">
        <v>18</v>
      </c>
      <c r="B4" s="6">
        <v>1</v>
      </c>
    </row>
    <row r="5" spans="1:2">
      <c r="A5" s="6" t="s">
        <v>14</v>
      </c>
      <c r="B5" s="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416BD-8D71-4CF7-A0CE-0C8CD594DD4E}">
  <dimension ref="A3:B8"/>
  <sheetViews>
    <sheetView workbookViewId="0">
      <selection activeCell="C21" sqref="C21"/>
    </sheetView>
  </sheetViews>
  <sheetFormatPr defaultRowHeight="14.4"/>
  <cols>
    <col min="1" max="1" width="15.33203125" customWidth="1"/>
    <col min="2" max="2" width="16.77734375" bestFit="1" customWidth="1"/>
  </cols>
  <sheetData>
    <row r="3" spans="1:2">
      <c r="A3" s="3" t="s">
        <v>27</v>
      </c>
      <c r="B3" t="s">
        <v>29</v>
      </c>
    </row>
    <row r="4" spans="1:2">
      <c r="A4" s="4" t="s">
        <v>12</v>
      </c>
      <c r="B4">
        <v>27410</v>
      </c>
    </row>
    <row r="5" spans="1:2">
      <c r="A5" s="4" t="s">
        <v>20</v>
      </c>
      <c r="B5">
        <v>15680</v>
      </c>
    </row>
    <row r="6" spans="1:2">
      <c r="A6" s="4" t="s">
        <v>8</v>
      </c>
      <c r="B6">
        <v>52570</v>
      </c>
    </row>
    <row r="7" spans="1:2">
      <c r="A7" s="4" t="s">
        <v>16</v>
      </c>
      <c r="B7">
        <v>31640</v>
      </c>
    </row>
    <row r="8" spans="1:2">
      <c r="A8" s="4" t="s">
        <v>28</v>
      </c>
      <c r="B8">
        <v>127300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0703-179A-41AD-A946-B90DC4BCA816}">
  <dimension ref="A1:B8"/>
  <sheetViews>
    <sheetView workbookViewId="0">
      <selection activeCell="C12" sqref="C12"/>
    </sheetView>
  </sheetViews>
  <sheetFormatPr defaultRowHeight="14.4"/>
  <cols>
    <col min="1" max="1" width="13.77734375" customWidth="1"/>
    <col min="2" max="2" width="16.77734375" bestFit="1" customWidth="1"/>
  </cols>
  <sheetData>
    <row r="1" spans="1:2">
      <c r="A1" s="3" t="s">
        <v>2</v>
      </c>
      <c r="B1" t="s">
        <v>30</v>
      </c>
    </row>
    <row r="3" spans="1:2">
      <c r="A3" s="3" t="s">
        <v>27</v>
      </c>
      <c r="B3" t="s">
        <v>29</v>
      </c>
    </row>
    <row r="4" spans="1:2">
      <c r="A4" s="4" t="s">
        <v>9</v>
      </c>
      <c r="B4">
        <v>38300</v>
      </c>
    </row>
    <row r="5" spans="1:2">
      <c r="A5" s="4" t="s">
        <v>17</v>
      </c>
      <c r="B5">
        <v>29330</v>
      </c>
    </row>
    <row r="6" spans="1:2">
      <c r="A6" s="4" t="s">
        <v>22</v>
      </c>
      <c r="B6">
        <v>38440</v>
      </c>
    </row>
    <row r="7" spans="1:2">
      <c r="A7" s="4" t="s">
        <v>13</v>
      </c>
      <c r="B7">
        <v>21230</v>
      </c>
    </row>
    <row r="8" spans="1:2">
      <c r="A8" s="4" t="s">
        <v>28</v>
      </c>
      <c r="B8">
        <v>127300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46C-DEC2-48FC-8D8F-56907E4C9C83}">
  <dimension ref="A3:C5"/>
  <sheetViews>
    <sheetView workbookViewId="0">
      <selection activeCell="C16" sqref="C16"/>
    </sheetView>
  </sheetViews>
  <sheetFormatPr defaultRowHeight="14.4"/>
  <cols>
    <col min="1" max="1" width="12.5546875" bestFit="1" customWidth="1"/>
    <col min="2" max="2" width="16.5546875" bestFit="1" customWidth="1"/>
    <col min="3" max="3" width="16.77734375" bestFit="1" customWidth="1"/>
  </cols>
  <sheetData>
    <row r="3" spans="1:3">
      <c r="A3" s="3" t="s">
        <v>27</v>
      </c>
      <c r="B3" t="s">
        <v>31</v>
      </c>
      <c r="C3" t="s">
        <v>29</v>
      </c>
    </row>
    <row r="4" spans="1:3">
      <c r="A4" s="4" t="s">
        <v>15</v>
      </c>
      <c r="B4" s="7">
        <v>102</v>
      </c>
      <c r="C4" s="7">
        <v>9210</v>
      </c>
    </row>
    <row r="5" spans="1:3">
      <c r="A5" s="4" t="s">
        <v>28</v>
      </c>
      <c r="B5" s="7">
        <v>102</v>
      </c>
      <c r="C5" s="7">
        <v>9210</v>
      </c>
    </row>
  </sheetData>
  <sortState xmlns:xlrd2="http://schemas.microsoft.com/office/spreadsheetml/2017/richdata2" columnSort="1" ref="A3:C6">
    <sortCondition descending="1" ref="C3"/>
  </sortState>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Product_Info</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C M</dc:creator>
  <cp:lastModifiedBy>Vishnu C M</cp:lastModifiedBy>
  <dcterms:created xsi:type="dcterms:W3CDTF">2025-12-18T13:57:25Z</dcterms:created>
  <dcterms:modified xsi:type="dcterms:W3CDTF">2025-12-20T07:11:06Z</dcterms:modified>
</cp:coreProperties>
</file>