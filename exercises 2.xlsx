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tables/table2.xml" ContentType="application/vnd.openxmlformats-officedocument.spreadsheetml.table+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E:\Data Analyst\Projects excel\Practice 2\"/>
    </mc:Choice>
  </mc:AlternateContent>
  <xr:revisionPtr revIDLastSave="0" documentId="13_ncr:1_{AA7EBAAC-9E99-4D54-909B-C17810EBC2D4}" xr6:coauthVersionLast="47" xr6:coauthVersionMax="47" xr10:uidLastSave="{00000000-0000-0000-0000-000000000000}"/>
  <bookViews>
    <workbookView xWindow="-108" yWindow="-108" windowWidth="23256" windowHeight="12456" activeTab="3" xr2:uid="{873E8850-F1A6-49CD-BCC5-CC0369786D53}"/>
  </bookViews>
  <sheets>
    <sheet name="Sheet1" sheetId="1" r:id="rId1"/>
    <sheet name="Sales by Region" sheetId="2" r:id="rId2"/>
    <sheet name="Sales by Category" sheetId="3" r:id="rId3"/>
    <sheet name="Sales_Data" sheetId="4" r:id="rId4"/>
    <sheet name="Product_Master" sheetId="5" r:id="rId5"/>
  </sheets>
  <definedNames>
    <definedName name="Slicer_Category">#N/A</definedName>
    <definedName name="Slicer_Category1">#N/A</definedName>
    <definedName name="Slicer_Category2">#N/A</definedName>
    <definedName name="Slicer_Region">#N/A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9"/>
        <x14:slicerCache r:id="rId10"/>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2" i="4" l="1"/>
  <c r="H2" i="4" s="1"/>
  <c r="G3" i="4"/>
  <c r="H3" i="4" s="1"/>
  <c r="G4" i="4"/>
  <c r="H4" i="4" s="1"/>
  <c r="G5" i="4"/>
  <c r="H5" i="4" s="1"/>
  <c r="G6" i="4"/>
  <c r="H6" i="4" s="1"/>
  <c r="F2" i="4"/>
  <c r="F3" i="4"/>
  <c r="F4" i="4"/>
  <c r="F5" i="4"/>
  <c r="F6" i="4"/>
  <c r="E2" i="4"/>
  <c r="E3" i="4"/>
  <c r="E4" i="4"/>
  <c r="E5" i="4"/>
  <c r="E6" i="4"/>
  <c r="M6" i="1"/>
  <c r="H2" i="1"/>
  <c r="H3" i="1"/>
  <c r="H4" i="1"/>
  <c r="H5" i="1"/>
  <c r="H6" i="1"/>
  <c r="H7" i="1"/>
  <c r="H8" i="1"/>
  <c r="H9" i="1"/>
  <c r="M5" i="1"/>
  <c r="M4" i="1"/>
  <c r="M3" i="1"/>
  <c r="M2" i="1"/>
  <c r="M1" i="1"/>
</calcChain>
</file>

<file path=xl/sharedStrings.xml><?xml version="1.0" encoding="utf-8"?>
<sst xmlns="http://schemas.openxmlformats.org/spreadsheetml/2006/main" count="83" uniqueCount="35">
  <si>
    <t>Order_ID</t>
  </si>
  <si>
    <t>Order_Date</t>
  </si>
  <si>
    <t>Region</t>
  </si>
  <si>
    <t>Product</t>
  </si>
  <si>
    <t>Category</t>
  </si>
  <si>
    <t>Sales</t>
  </si>
  <si>
    <t>Quantity</t>
  </si>
  <si>
    <t>Dubai</t>
  </si>
  <si>
    <t>Laptop</t>
  </si>
  <si>
    <t>Electronics</t>
  </si>
  <si>
    <t>Abu Dhabi</t>
  </si>
  <si>
    <t>Mobile</t>
  </si>
  <si>
    <t>Chair</t>
  </si>
  <si>
    <t>Furniture</t>
  </si>
  <si>
    <t>Sharjah</t>
  </si>
  <si>
    <t>Table</t>
  </si>
  <si>
    <t>Sales_Level</t>
  </si>
  <si>
    <t>Total Sales for Dubai =</t>
  </si>
  <si>
    <t>Sales Total</t>
  </si>
  <si>
    <t>Sales Average</t>
  </si>
  <si>
    <t>Total order_ID</t>
  </si>
  <si>
    <t>Count Electronics orders =</t>
  </si>
  <si>
    <t>Total Sales of Electronics in Dubai =</t>
  </si>
  <si>
    <t>LAPTOP</t>
  </si>
  <si>
    <t>Row Labels</t>
  </si>
  <si>
    <t>Grand Total</t>
  </si>
  <si>
    <t>Sum of Sales</t>
  </si>
  <si>
    <t>Product_ID</t>
  </si>
  <si>
    <t>P101</t>
  </si>
  <si>
    <t>P102</t>
  </si>
  <si>
    <t>P103</t>
  </si>
  <si>
    <t>P104</t>
  </si>
  <si>
    <t>Product_Name</t>
  </si>
  <si>
    <t>Cost</t>
  </si>
  <si>
    <t>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</si>
</sst>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2"/>
      <color theme="1"/>
      <name val="Calibri"/>
      <family val="2"/>
      <scheme val="minor"/>
    </font>
  </fonts>
  <fills count="2">
    <fill>
      <patternFill patternType="none"/>
    </fill>
    <fill>
      <patternFill patternType="gray125"/>
    </fill>
  </fills>
  <borders count="2">
    <border>
      <left/>
      <right/>
      <top/>
      <bottom/>
      <diagonal/>
    </border>
    <border>
      <left/>
      <right/>
      <top style="thin">
        <color theme="4" tint="0.39997558519241921"/>
      </top>
      <bottom style="thin">
        <color theme="4" tint="0.39997558519241921"/>
      </bottom>
      <diagonal/>
    </border>
  </borders>
  <cellStyleXfs count="1">
    <xf numFmtId="0" fontId="0" fillId="0" borderId="0"/>
  </cellStyleXfs>
  <cellXfs count="7">
    <xf numFmtId="0" fontId="0" fillId="0" borderId="0" xfId="0"/>
    <xf numFmtId="14" fontId="0" fillId="0" borderId="0" xfId="0" applyNumberFormat="1"/>
    <xf numFmtId="0" fontId="1" fillId="0" borderId="0" xfId="0" applyFont="1"/>
    <xf numFmtId="0" fontId="1" fillId="0" borderId="0" xfId="0" applyFont="1" applyAlignment="1">
      <alignment vertical="center"/>
    </xf>
    <xf numFmtId="0" fontId="1" fillId="0" borderId="1" xfId="0" applyFont="1" applyBorder="1"/>
    <xf numFmtId="0" fontId="0" fillId="0" borderId="0" xfId="0" pivotButton="1"/>
    <xf numFmtId="0" fontId="0" fillId="0" borderId="0" xfId="0" applyAlignment="1">
      <alignment horizontal="left"/>
    </xf>
  </cellXfs>
  <cellStyles count="1">
    <cellStyle name="Normal" xfId="0" builtinId="0"/>
  </cellStyles>
  <dxfs count="8">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[exercises 2.xlsx]Sales by Region!PivotTable1</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'Sales by Region'!$B$3</c:f>
              <c:strCache>
                <c:ptCount val="1"/>
                <c:pt idx="0">
                  <c:v>Total</c:v>
                </c:pt>
              </c:strCache>
            </c:strRef>
          </c:tx>
          <c:spPr>
            <a:solidFill>
              <a:schemeClr val="accent1"/>
            </a:solidFill>
            <a:ln>
              <a:noFill/>
            </a:ln>
            <a:effectLst/>
            <a:sp3d/>
          </c:spPr>
          <c:invertIfNegative val="0"/>
          <c:cat>
            <c:strRef>
              <c:f>'Sales by Region'!$A$4:$A$7</c:f>
              <c:strCache>
                <c:ptCount val="3"/>
                <c:pt idx="0">
                  <c:v>Dubai</c:v>
                </c:pt>
                <c:pt idx="1">
                  <c:v>Abu Dhabi</c:v>
                </c:pt>
                <c:pt idx="2">
                  <c:v>Sharjah</c:v>
                </c:pt>
              </c:strCache>
            </c:strRef>
          </c:cat>
          <c:val>
            <c:numRef>
              <c:f>'Sales by Region'!$B$4:$B$7</c:f>
              <c:numCache>
                <c:formatCode>General</c:formatCode>
                <c:ptCount val="3"/>
                <c:pt idx="0">
                  <c:v>7100</c:v>
                </c:pt>
                <c:pt idx="1">
                  <c:v>6100</c:v>
                </c:pt>
                <c:pt idx="2">
                  <c:v>2100</c:v>
                </c:pt>
              </c:numCache>
            </c:numRef>
          </c:val>
          <c:extLst>
            <c:ext xmlns:c16="http://schemas.microsoft.com/office/drawing/2014/chart" uri="{C3380CC4-5D6E-409C-BE32-E72D297353CC}">
              <c16:uniqueId val="{00000000-DE15-4A81-91D2-C2C6671900B0}"/>
            </c:ext>
          </c:extLst>
        </c:ser>
        <c:dLbls>
          <c:showLegendKey val="0"/>
          <c:showVal val="0"/>
          <c:showCatName val="0"/>
          <c:showSerName val="0"/>
          <c:showPercent val="0"/>
          <c:showBubbleSize val="0"/>
        </c:dLbls>
        <c:gapWidth val="150"/>
        <c:shape val="box"/>
        <c:axId val="309191423"/>
        <c:axId val="309192863"/>
        <c:axId val="0"/>
      </c:bar3DChart>
      <c:catAx>
        <c:axId val="30919142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9192863"/>
        <c:crosses val="autoZero"/>
        <c:auto val="1"/>
        <c:lblAlgn val="ctr"/>
        <c:lblOffset val="100"/>
        <c:noMultiLvlLbl val="0"/>
      </c:catAx>
      <c:valAx>
        <c:axId val="3091928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91914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[exercises 2.xlsx]Sales by Category!PivotTable2</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'Sales by Category'!$B$3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DDFA-4B16-8A5B-1D9465688126}"/>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DDFA-4B16-8A5B-1D9465688126}"/>
              </c:ext>
            </c:extLst>
          </c:dPt>
          <c:cat>
            <c:strRef>
              <c:f>'Sales by Category'!$A$4:$A$6</c:f>
              <c:strCache>
                <c:ptCount val="2"/>
                <c:pt idx="0">
                  <c:v>Electronics</c:v>
                </c:pt>
                <c:pt idx="1">
                  <c:v>Furniture</c:v>
                </c:pt>
              </c:strCache>
            </c:strRef>
          </c:cat>
          <c:val>
            <c:numRef>
              <c:f>'Sales by Category'!$B$4:$B$6</c:f>
              <c:numCache>
                <c:formatCode>General</c:formatCode>
                <c:ptCount val="2"/>
                <c:pt idx="0">
                  <c:v>10900</c:v>
                </c:pt>
                <c:pt idx="1">
                  <c:v>4400</c:v>
                </c:pt>
              </c:numCache>
            </c:numRef>
          </c:val>
          <c:extLst>
            <c:ext xmlns:c16="http://schemas.microsoft.com/office/drawing/2014/chart" uri="{C3380CC4-5D6E-409C-BE32-E72D297353CC}">
              <c16:uniqueId val="{00000000-A6C0-4BEC-94C9-5DB75E906859}"/>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Sales_Data!$G$1</c:f>
              <c:strCache>
                <c:ptCount val="1"/>
                <c:pt idx="0">
                  <c:v>Cost</c:v>
                </c:pt>
              </c:strCache>
            </c:strRef>
          </c:tx>
          <c:spPr>
            <a:solidFill>
              <a:schemeClr val="accent1"/>
            </a:solidFill>
            <a:ln>
              <a:noFill/>
            </a:ln>
            <a:effectLst/>
          </c:spPr>
          <c:invertIfNegative val="0"/>
          <c:cat>
            <c:multiLvlStrRef>
              <c:f>Sales_Data!$A$2:$F$6</c:f>
              <c:multiLvlStrCache>
                <c:ptCount val="5"/>
                <c:lvl>
                  <c:pt idx="0">
                    <c:v>Electronics</c:v>
                  </c:pt>
                  <c:pt idx="1">
                    <c:v>Electronics</c:v>
                  </c:pt>
                  <c:pt idx="2">
                    <c:v>Furniture</c:v>
                  </c:pt>
                  <c:pt idx="3">
                    <c:v>Furniture</c:v>
                  </c:pt>
                  <c:pt idx="4">
                    <c:v>Electronics</c:v>
                  </c:pt>
                </c:lvl>
                <c:lvl>
                  <c:pt idx="0">
                    <c:v>Laptop</c:v>
                  </c:pt>
                  <c:pt idx="1">
                    <c:v>Mobile</c:v>
                  </c:pt>
                  <c:pt idx="2">
                    <c:v>Chair</c:v>
                  </c:pt>
                  <c:pt idx="3">
                    <c:v>Table</c:v>
                  </c:pt>
                  <c:pt idx="4">
                    <c:v>Mobile</c:v>
                  </c:pt>
                </c:lvl>
                <c:lvl>
                  <c:pt idx="0">
                    <c:v>3500</c:v>
                  </c:pt>
                  <c:pt idx="1">
                    <c:v>2500</c:v>
                  </c:pt>
                  <c:pt idx="2">
                    <c:v>800</c:v>
                  </c:pt>
                  <c:pt idx="3">
                    <c:v>1200</c:v>
                  </c:pt>
                  <c:pt idx="4">
                    <c:v>1300</c:v>
                  </c:pt>
                </c:lvl>
                <c:lvl>
                  <c:pt idx="0">
                    <c:v>Dubai</c:v>
                  </c:pt>
                  <c:pt idx="1">
                    <c:v>Abu Dhabi</c:v>
                  </c:pt>
                  <c:pt idx="2">
                    <c:v>Dubai</c:v>
                  </c:pt>
                  <c:pt idx="3">
                    <c:v>Sharjah</c:v>
                  </c:pt>
                  <c:pt idx="4">
                    <c:v>Dubai</c:v>
                  </c:pt>
                </c:lvl>
                <c:lvl>
                  <c:pt idx="0">
                    <c:v>P101</c:v>
                  </c:pt>
                  <c:pt idx="1">
                    <c:v>P102</c:v>
                  </c:pt>
                  <c:pt idx="2">
                    <c:v>P103</c:v>
                  </c:pt>
                  <c:pt idx="3">
                    <c:v>P104</c:v>
                  </c:pt>
                  <c:pt idx="4">
                    <c:v>P102</c:v>
                  </c:pt>
                </c:lvl>
                <c:lvl>
                  <c:pt idx="0">
                    <c:v>1001</c:v>
                  </c:pt>
                  <c:pt idx="1">
                    <c:v>1002</c:v>
                  </c:pt>
                  <c:pt idx="2">
                    <c:v>1003</c:v>
                  </c:pt>
                  <c:pt idx="3">
                    <c:v>1004</c:v>
                  </c:pt>
                  <c:pt idx="4">
                    <c:v>1005</c:v>
                  </c:pt>
                </c:lvl>
              </c:multiLvlStrCache>
            </c:multiLvlStrRef>
          </c:cat>
          <c:val>
            <c:numRef>
              <c:f>Sales_Data!$G$2:$G$6</c:f>
              <c:numCache>
                <c:formatCode>General</c:formatCode>
                <c:ptCount val="5"/>
                <c:pt idx="0">
                  <c:v>2800</c:v>
                </c:pt>
                <c:pt idx="1">
                  <c:v>1800</c:v>
                </c:pt>
                <c:pt idx="2">
                  <c:v>500</c:v>
                </c:pt>
                <c:pt idx="3">
                  <c:v>900</c:v>
                </c:pt>
                <c:pt idx="4">
                  <c:v>1800</c:v>
                </c:pt>
              </c:numCache>
            </c:numRef>
          </c:val>
          <c:extLst>
            <c:ext xmlns:c16="http://schemas.microsoft.com/office/drawing/2014/chart" uri="{C3380CC4-5D6E-409C-BE32-E72D297353CC}">
              <c16:uniqueId val="{00000000-E7F0-40A8-9193-67AC650D6B49}"/>
            </c:ext>
          </c:extLst>
        </c:ser>
        <c:ser>
          <c:idx val="1"/>
          <c:order val="1"/>
          <c:tx>
            <c:strRef>
              <c:f>Sales_Data!$H$1</c:f>
              <c:strCache>
                <c:ptCount val="1"/>
                <c:pt idx="0">
                  <c:v>Profit</c:v>
                </c:pt>
              </c:strCache>
            </c:strRef>
          </c:tx>
          <c:spPr>
            <a:solidFill>
              <a:schemeClr val="accent2"/>
            </a:solidFill>
            <a:ln>
              <a:noFill/>
            </a:ln>
            <a:effectLst/>
          </c:spPr>
          <c:invertIfNegative val="0"/>
          <c:cat>
            <c:multiLvlStrRef>
              <c:f>Sales_Data!$A$2:$F$6</c:f>
              <c:multiLvlStrCache>
                <c:ptCount val="5"/>
                <c:lvl>
                  <c:pt idx="0">
                    <c:v>Electronics</c:v>
                  </c:pt>
                  <c:pt idx="1">
                    <c:v>Electronics</c:v>
                  </c:pt>
                  <c:pt idx="2">
                    <c:v>Furniture</c:v>
                  </c:pt>
                  <c:pt idx="3">
                    <c:v>Furniture</c:v>
                  </c:pt>
                  <c:pt idx="4">
                    <c:v>Electronics</c:v>
                  </c:pt>
                </c:lvl>
                <c:lvl>
                  <c:pt idx="0">
                    <c:v>Laptop</c:v>
                  </c:pt>
                  <c:pt idx="1">
                    <c:v>Mobile</c:v>
                  </c:pt>
                  <c:pt idx="2">
                    <c:v>Chair</c:v>
                  </c:pt>
                  <c:pt idx="3">
                    <c:v>Table</c:v>
                  </c:pt>
                  <c:pt idx="4">
                    <c:v>Mobile</c:v>
                  </c:pt>
                </c:lvl>
                <c:lvl>
                  <c:pt idx="0">
                    <c:v>3500</c:v>
                  </c:pt>
                  <c:pt idx="1">
                    <c:v>2500</c:v>
                  </c:pt>
                  <c:pt idx="2">
                    <c:v>800</c:v>
                  </c:pt>
                  <c:pt idx="3">
                    <c:v>1200</c:v>
                  </c:pt>
                  <c:pt idx="4">
                    <c:v>1300</c:v>
                  </c:pt>
                </c:lvl>
                <c:lvl>
                  <c:pt idx="0">
                    <c:v>Dubai</c:v>
                  </c:pt>
                  <c:pt idx="1">
                    <c:v>Abu Dhabi</c:v>
                  </c:pt>
                  <c:pt idx="2">
                    <c:v>Dubai</c:v>
                  </c:pt>
                  <c:pt idx="3">
                    <c:v>Sharjah</c:v>
                  </c:pt>
                  <c:pt idx="4">
                    <c:v>Dubai</c:v>
                  </c:pt>
                </c:lvl>
                <c:lvl>
                  <c:pt idx="0">
                    <c:v>P101</c:v>
                  </c:pt>
                  <c:pt idx="1">
                    <c:v>P102</c:v>
                  </c:pt>
                  <c:pt idx="2">
                    <c:v>P103</c:v>
                  </c:pt>
                  <c:pt idx="3">
                    <c:v>P104</c:v>
                  </c:pt>
                  <c:pt idx="4">
                    <c:v>P102</c:v>
                  </c:pt>
                </c:lvl>
                <c:lvl>
                  <c:pt idx="0">
                    <c:v>1001</c:v>
                  </c:pt>
                  <c:pt idx="1">
                    <c:v>1002</c:v>
                  </c:pt>
                  <c:pt idx="2">
                    <c:v>1003</c:v>
                  </c:pt>
                  <c:pt idx="3">
                    <c:v>1004</c:v>
                  </c:pt>
                  <c:pt idx="4">
                    <c:v>1005</c:v>
                  </c:pt>
                </c:lvl>
              </c:multiLvlStrCache>
            </c:multiLvlStrRef>
          </c:cat>
          <c:val>
            <c:numRef>
              <c:f>Sales_Data!$H$2:$H$6</c:f>
              <c:numCache>
                <c:formatCode>General</c:formatCode>
                <c:ptCount val="5"/>
                <c:pt idx="0">
                  <c:v>700</c:v>
                </c:pt>
                <c:pt idx="1">
                  <c:v>700</c:v>
                </c:pt>
                <c:pt idx="2">
                  <c:v>300</c:v>
                </c:pt>
                <c:pt idx="3">
                  <c:v>300</c:v>
                </c:pt>
                <c:pt idx="4">
                  <c:v>-500</c:v>
                </c:pt>
              </c:numCache>
            </c:numRef>
          </c:val>
          <c:extLst>
            <c:ext xmlns:c16="http://schemas.microsoft.com/office/drawing/2014/chart" uri="{C3380CC4-5D6E-409C-BE32-E72D297353CC}">
              <c16:uniqueId val="{00000001-E7F0-40A8-9193-67AC650D6B49}"/>
            </c:ext>
          </c:extLst>
        </c:ser>
        <c:dLbls>
          <c:showLegendKey val="0"/>
          <c:showVal val="0"/>
          <c:showCatName val="0"/>
          <c:showSerName val="0"/>
          <c:showPercent val="0"/>
          <c:showBubbleSize val="0"/>
        </c:dLbls>
        <c:gapWidth val="219"/>
        <c:overlap val="-27"/>
        <c:axId val="756689120"/>
        <c:axId val="756671360"/>
      </c:barChart>
      <c:catAx>
        <c:axId val="756689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6671360"/>
        <c:crosses val="autoZero"/>
        <c:auto val="1"/>
        <c:lblAlgn val="ctr"/>
        <c:lblOffset val="100"/>
        <c:noMultiLvlLbl val="0"/>
      </c:catAx>
      <c:valAx>
        <c:axId val="7566713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66891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2</xdr:col>
      <xdr:colOff>594360</xdr:colOff>
      <xdr:row>2</xdr:row>
      <xdr:rowOff>30480</xdr:rowOff>
    </xdr:from>
    <xdr:to>
      <xdr:col>5</xdr:col>
      <xdr:colOff>594360</xdr:colOff>
      <xdr:row>15</xdr:row>
      <xdr:rowOff>120015</xdr:rowOff>
    </xdr:to>
    <mc:AlternateContent xmlns:mc="http://schemas.openxmlformats.org/markup-compatibility/2006" xmlns:a14="http://schemas.microsoft.com/office/drawing/2010/main">
      <mc:Choice Requires="a14">
        <xdr:graphicFrame macro="">
          <xdr:nvGraphicFramePr>
            <xdr:cNvPr id="2" name="Category">
              <a:extLst>
                <a:ext uri="{FF2B5EF4-FFF2-40B4-BE49-F238E27FC236}">
                  <a16:creationId xmlns:a16="http://schemas.microsoft.com/office/drawing/2014/main" id="{1C54CF7C-0F55-C645-789B-B41F70094A2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255520" y="3962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91440</xdr:colOff>
      <xdr:row>6</xdr:row>
      <xdr:rowOff>41910</xdr:rowOff>
    </xdr:from>
    <xdr:to>
      <xdr:col>14</xdr:col>
      <xdr:colOff>396240</xdr:colOff>
      <xdr:row>21</xdr:row>
      <xdr:rowOff>41910</xdr:rowOff>
    </xdr:to>
    <xdr:graphicFrame macro="">
      <xdr:nvGraphicFramePr>
        <xdr:cNvPr id="5" name="Chart 4">
          <a:extLst>
            <a:ext uri="{FF2B5EF4-FFF2-40B4-BE49-F238E27FC236}">
              <a16:creationId xmlns:a16="http://schemas.microsoft.com/office/drawing/2014/main" id="{93AB5C82-828B-F2EC-186D-D183116B51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91440</xdr:colOff>
      <xdr:row>6</xdr:row>
      <xdr:rowOff>41910</xdr:rowOff>
    </xdr:from>
    <xdr:to>
      <xdr:col>14</xdr:col>
      <xdr:colOff>396240</xdr:colOff>
      <xdr:row>21</xdr:row>
      <xdr:rowOff>41910</xdr:rowOff>
    </xdr:to>
    <xdr:graphicFrame macro="">
      <xdr:nvGraphicFramePr>
        <xdr:cNvPr id="2" name="Chart 1">
          <a:extLst>
            <a:ext uri="{FF2B5EF4-FFF2-40B4-BE49-F238E27FC236}">
              <a16:creationId xmlns:a16="http://schemas.microsoft.com/office/drawing/2014/main" id="{5867D3D8-3AD8-1DAF-6A66-B6DD9A5F86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220980</xdr:colOff>
      <xdr:row>1</xdr:row>
      <xdr:rowOff>137160</xdr:rowOff>
    </xdr:from>
    <xdr:to>
      <xdr:col>6</xdr:col>
      <xdr:colOff>220980</xdr:colOff>
      <xdr:row>15</xdr:row>
      <xdr:rowOff>43815</xdr:rowOff>
    </xdr:to>
    <mc:AlternateContent xmlns:mc="http://schemas.openxmlformats.org/markup-compatibility/2006" xmlns:a14="http://schemas.microsoft.com/office/drawing/2010/main">
      <mc:Choice Requires="a14">
        <xdr:graphicFrame macro="">
          <xdr:nvGraphicFramePr>
            <xdr:cNvPr id="3" name="Category 1">
              <a:extLst>
                <a:ext uri="{FF2B5EF4-FFF2-40B4-BE49-F238E27FC236}">
                  <a16:creationId xmlns:a16="http://schemas.microsoft.com/office/drawing/2014/main" id="{732C555A-5522-406B-BD88-EB2DFB5DF63E}"/>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2491740" y="3200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38100</xdr:colOff>
      <xdr:row>6</xdr:row>
      <xdr:rowOff>148590</xdr:rowOff>
    </xdr:from>
    <xdr:to>
      <xdr:col>8</xdr:col>
      <xdr:colOff>144780</xdr:colOff>
      <xdr:row>21</xdr:row>
      <xdr:rowOff>148590</xdr:rowOff>
    </xdr:to>
    <xdr:graphicFrame macro="">
      <xdr:nvGraphicFramePr>
        <xdr:cNvPr id="2" name="Chart 1">
          <a:extLst>
            <a:ext uri="{FF2B5EF4-FFF2-40B4-BE49-F238E27FC236}">
              <a16:creationId xmlns:a16="http://schemas.microsoft.com/office/drawing/2014/main" id="{D807B87A-760E-D3FA-4F8C-2FD819C8B5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9</xdr:col>
      <xdr:colOff>7620</xdr:colOff>
      <xdr:row>6</xdr:row>
      <xdr:rowOff>167640</xdr:rowOff>
    </xdr:from>
    <xdr:to>
      <xdr:col>12</xdr:col>
      <xdr:colOff>7620</xdr:colOff>
      <xdr:row>20</xdr:row>
      <xdr:rowOff>74295</xdr:rowOff>
    </xdr:to>
    <mc:AlternateContent xmlns:mc="http://schemas.openxmlformats.org/markup-compatibility/2006">
      <mc:Choice xmlns:sle15="http://schemas.microsoft.com/office/drawing/2012/slicer" Requires="sle15">
        <xdr:graphicFrame macro="">
          <xdr:nvGraphicFramePr>
            <xdr:cNvPr id="3" name="Region">
              <a:extLst>
                <a:ext uri="{FF2B5EF4-FFF2-40B4-BE49-F238E27FC236}">
                  <a16:creationId xmlns:a16="http://schemas.microsoft.com/office/drawing/2014/main" id="{984980AD-3905-504D-B30C-8628CDB71EF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6644640" y="12649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12</xdr:col>
      <xdr:colOff>22860</xdr:colOff>
      <xdr:row>6</xdr:row>
      <xdr:rowOff>167640</xdr:rowOff>
    </xdr:from>
    <xdr:to>
      <xdr:col>15</xdr:col>
      <xdr:colOff>22860</xdr:colOff>
      <xdr:row>20</xdr:row>
      <xdr:rowOff>74295</xdr:rowOff>
    </xdr:to>
    <mc:AlternateContent xmlns:mc="http://schemas.openxmlformats.org/markup-compatibility/2006">
      <mc:Choice xmlns:sle15="http://schemas.microsoft.com/office/drawing/2012/slicer" Requires="sle15">
        <xdr:graphicFrame macro="">
          <xdr:nvGraphicFramePr>
            <xdr:cNvPr id="6" name="Category 2">
              <a:extLst>
                <a:ext uri="{FF2B5EF4-FFF2-40B4-BE49-F238E27FC236}">
                  <a16:creationId xmlns:a16="http://schemas.microsoft.com/office/drawing/2014/main" id="{7EF39974-56E5-5718-B33F-7E56B69AF63E}"/>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dr:sp macro="" textlink="">
          <xdr:nvSpPr>
            <xdr:cNvPr id="0" name=""/>
            <xdr:cNvSpPr>
              <a:spLocks noTextEdit="1"/>
            </xdr:cNvSpPr>
          </xdr:nvSpPr>
          <xdr:spPr>
            <a:xfrm>
              <a:off x="8488680" y="12649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shnu C M" refreshedDate="46015.898488310188" createdVersion="8" refreshedVersion="8" minRefreshableVersion="3" recordCount="8" xr:uid="{AA8E4038-9B57-411F-AAF4-2AB3FFA5516F}">
  <cacheSource type="worksheet">
    <worksheetSource name="Table1"/>
  </cacheSource>
  <cacheFields count="8">
    <cacheField name="Order_ID" numFmtId="0">
      <sharedItems containsSemiMixedTypes="0" containsString="0" containsNumber="1" containsInteger="1" minValue="1001" maxValue="1008"/>
    </cacheField>
    <cacheField name="Order_Date" numFmtId="14">
      <sharedItems containsSemiMixedTypes="0" containsNonDate="0" containsDate="1" containsString="0" minDate="2024-01-01T00:00:00" maxDate="2024-01-09T00:00:00"/>
    </cacheField>
    <cacheField name="Region" numFmtId="0">
      <sharedItems count="3">
        <s v="Dubai"/>
        <s v="Abu Dhabi"/>
        <s v="Sharjah"/>
      </sharedItems>
    </cacheField>
    <cacheField name="Product" numFmtId="0">
      <sharedItems/>
    </cacheField>
    <cacheField name="Category" numFmtId="0">
      <sharedItems count="2">
        <s v="Electronics"/>
        <s v="Furniture"/>
      </sharedItems>
    </cacheField>
    <cacheField name="Sales" numFmtId="0">
      <sharedItems containsSemiMixedTypes="0" containsString="0" containsNumber="1" containsInteger="1" minValue="800" maxValue="3600" count="8">
        <n v="3500"/>
        <n v="2500"/>
        <n v="800"/>
        <n v="1200"/>
        <n v="1300"/>
        <n v="3600"/>
        <n v="900"/>
        <n v="1500"/>
      </sharedItems>
    </cacheField>
    <cacheField name="Quantity" numFmtId="0">
      <sharedItems containsSemiMixedTypes="0" containsString="0" containsNumber="1" containsInteger="1" minValue="1" maxValue="4" count="4">
        <n v="1"/>
        <n v="2"/>
        <n v="4"/>
        <n v="3"/>
      </sharedItems>
    </cacheField>
    <cacheField name="Sales_Level" numFmtId="0">
      <sharedItems/>
    </cacheField>
  </cacheFields>
  <extLst>
    <ext xmlns:x14="http://schemas.microsoft.com/office/spreadsheetml/2009/9/main" uri="{725AE2AE-9491-48be-B2B4-4EB974FC3084}">
      <x14:pivotCacheDefinition pivotCacheId="200648624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
  <r>
    <n v="1001"/>
    <d v="2024-01-01T00:00:00"/>
    <x v="0"/>
    <s v="LAPTOP"/>
    <x v="0"/>
    <x v="0"/>
    <x v="0"/>
    <s v="High"/>
  </r>
  <r>
    <n v="1002"/>
    <d v="2024-01-02T00:00:00"/>
    <x v="1"/>
    <s v="Mobile"/>
    <x v="0"/>
    <x v="1"/>
    <x v="1"/>
    <s v="High"/>
  </r>
  <r>
    <n v="1003"/>
    <d v="2024-01-03T00:00:00"/>
    <x v="0"/>
    <s v="Chair"/>
    <x v="1"/>
    <x v="2"/>
    <x v="2"/>
    <s v="Low"/>
  </r>
  <r>
    <n v="1004"/>
    <d v="2024-01-04T00:00:00"/>
    <x v="2"/>
    <s v="Table"/>
    <x v="1"/>
    <x v="3"/>
    <x v="0"/>
    <s v="Low"/>
  </r>
  <r>
    <n v="1005"/>
    <d v="2024-01-05T00:00:00"/>
    <x v="0"/>
    <s v="Mobile"/>
    <x v="0"/>
    <x v="4"/>
    <x v="0"/>
    <s v="Low"/>
  </r>
  <r>
    <n v="1006"/>
    <d v="2024-01-06T00:00:00"/>
    <x v="1"/>
    <s v="LAPTOP"/>
    <x v="0"/>
    <x v="5"/>
    <x v="0"/>
    <s v="High"/>
  </r>
  <r>
    <n v="1007"/>
    <d v="2024-01-07T00:00:00"/>
    <x v="2"/>
    <s v="Chair"/>
    <x v="1"/>
    <x v="6"/>
    <x v="3"/>
    <s v="Low"/>
  </r>
  <r>
    <n v="1008"/>
    <d v="2024-01-08T00:00:00"/>
    <x v="0"/>
    <s v="Table"/>
    <x v="1"/>
    <x v="7"/>
    <x v="1"/>
    <s v="Low"/>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E5E65AA-27A3-41FC-85DD-07A8FF00E2E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7" firstHeaderRow="1" firstDataRow="1" firstDataCol="1"/>
  <pivotFields count="8">
    <pivotField showAll="0"/>
    <pivotField numFmtId="14" showAll="0"/>
    <pivotField axis="axisRow" showAll="0" sortType="descending">
      <items count="4">
        <item x="1"/>
        <item x="0"/>
        <item x="2"/>
        <item t="default"/>
      </items>
      <autoSortScope>
        <pivotArea dataOnly="0" outline="0" fieldPosition="0">
          <references count="1">
            <reference field="4294967294" count="1" selected="0">
              <x v="0"/>
            </reference>
          </references>
        </pivotArea>
      </autoSortScope>
    </pivotField>
    <pivotField showAll="0"/>
    <pivotField showAll="0">
      <items count="3">
        <item x="0"/>
        <item x="1"/>
        <item t="default"/>
      </items>
    </pivotField>
    <pivotField dataField="1" showAll="0">
      <items count="9">
        <item x="2"/>
        <item x="6"/>
        <item x="3"/>
        <item x="4"/>
        <item x="7"/>
        <item x="1"/>
        <item x="0"/>
        <item x="5"/>
        <item t="default"/>
      </items>
    </pivotField>
    <pivotField showAll="0"/>
    <pivotField showAll="0"/>
  </pivotFields>
  <rowFields count="1">
    <field x="2"/>
  </rowFields>
  <rowItems count="4">
    <i>
      <x v="1"/>
    </i>
    <i>
      <x/>
    </i>
    <i>
      <x v="2"/>
    </i>
    <i t="grand">
      <x/>
    </i>
  </rowItems>
  <colItems count="1">
    <i/>
  </colItems>
  <dataFields count="1">
    <dataField name="Sum of Sales" fld="5" baseField="0" baseItem="0"/>
  </dataField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FF43303-4AB7-4E9D-8813-27F772FC6D3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6" firstHeaderRow="1" firstDataRow="1" firstDataCol="1"/>
  <pivotFields count="8">
    <pivotField showAll="0"/>
    <pivotField numFmtId="14" showAll="0"/>
    <pivotField showAll="0"/>
    <pivotField showAll="0"/>
    <pivotField axis="axisRow" showAll="0">
      <items count="3">
        <item x="0"/>
        <item x="1"/>
        <item t="default"/>
      </items>
    </pivotField>
    <pivotField dataField="1" showAll="0"/>
    <pivotField showAll="0">
      <items count="5">
        <item x="0"/>
        <item x="1"/>
        <item x="3"/>
        <item x="2"/>
        <item t="default"/>
      </items>
    </pivotField>
    <pivotField showAll="0"/>
  </pivotFields>
  <rowFields count="1">
    <field x="4"/>
  </rowFields>
  <rowItems count="3">
    <i>
      <x/>
    </i>
    <i>
      <x v="1"/>
    </i>
    <i t="grand">
      <x/>
    </i>
  </rowItems>
  <colItems count="1">
    <i/>
  </colItems>
  <dataFields count="1">
    <dataField name="Sum of Sales" fld="5" baseField="0" baseItem="0"/>
  </dataFields>
  <chartFormats count="3">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4" count="1" selected="0">
            <x v="0"/>
          </reference>
        </references>
      </pivotArea>
    </chartFormat>
    <chartFormat chart="6" format="2">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7138B3E-D9A0-4AA8-8C80-3AC3DC635DBB}" sourceName="Category">
  <pivotTables>
    <pivotTable tabId="2" name="PivotTable1"/>
  </pivotTables>
  <data>
    <tabular pivotCacheId="2006486249">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5FC04547-790B-48ED-B724-B9C4A8196F11}" sourceName="Category">
  <pivotTables>
    <pivotTable tabId="3" name="PivotTable2"/>
  </pivotTables>
  <data>
    <tabular pivotCacheId="2006486249">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C243B49-4085-4723-98CB-A69CE03819CA}" sourceName="Region">
  <extLst>
    <x:ext xmlns:x15="http://schemas.microsoft.com/office/spreadsheetml/2010/11/main" uri="{2F2917AC-EB37-4324-AD4E-5DD8C200BD13}">
      <x15:tableSlicerCache tableId="2" column="3"/>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2" xr10:uid="{804C4017-0574-4D4E-B465-1BFF1411EE92}" sourceName="Category">
  <extLst>
    <x:ext xmlns:x15="http://schemas.microsoft.com/office/spreadsheetml/2010/11/main" uri="{2F2917AC-EB37-4324-AD4E-5DD8C200BD13}">
      <x15:tableSlicerCache tableId="2" column="6"/>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067D635C-2380-4539-9B29-950C6E5B790E}" cache="Slicer_Category" caption="Categor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98AFD828-DDCD-468F-8EEF-29FC31D0DE0E}" cache="Slicer_Category1" caption="Category"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27BD8E10-F7DA-4E38-B1EF-319BC8C314D5}" cache="Slicer_Region" caption="Region" rowHeight="234950"/>
  <slicer name="Category 2" xr10:uid="{6442AA1E-58CC-4C09-B55F-668A7F528F89}" cache="Slicer_Category2" caption="Categor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455BC7C-7574-45DD-9F7C-D656844E961E}" name="Table1" displayName="Table1" ref="A1:H9" totalsRowShown="0">
  <autoFilter ref="A1:H9" xr:uid="{D455BC7C-7574-45DD-9F7C-D656844E961E}"/>
  <tableColumns count="8">
    <tableColumn id="1" xr3:uid="{C0F425EA-735C-4358-8C64-DFA537267A85}" name="Order_ID"/>
    <tableColumn id="2" xr3:uid="{67C16E0B-E19A-44D8-83BB-234251C39665}" name="Order_Date" dataDxfId="7" totalsRowDxfId="6"/>
    <tableColumn id="3" xr3:uid="{95916D8D-4A4D-4C24-9719-2CABFF146B42}" name="Region"/>
    <tableColumn id="4" xr3:uid="{EDB467B4-6E05-40A3-A4A2-9B6F3B35710A}" name="Product"/>
    <tableColumn id="5" xr3:uid="{AA4324BF-87BF-42CD-AC77-70FFD21EB0EB}" name="Category"/>
    <tableColumn id="6" xr3:uid="{8687BB2C-663A-4721-B3E9-CD7481EB0D92}" name="Sales"/>
    <tableColumn id="7" xr3:uid="{226CB84E-D4C6-40A9-A510-A2774DAB077B}" name="Quantity"/>
    <tableColumn id="8" xr3:uid="{DEF0D425-B175-45D8-9B9C-124EFB179601}" name="Sales_Level" dataDxfId="5" totalsRowDxfId="4">
      <calculatedColumnFormula array="1">IF(F&gt;2000,"High","Low")</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F2DA183-C9BA-4219-8285-A836F31A2795}" name="Table2" displayName="Table2" ref="A1:H6" totalsRowShown="0">
  <autoFilter ref="A1:H6" xr:uid="{4F2DA183-C9BA-4219-8285-A836F31A2795}"/>
  <tableColumns count="8">
    <tableColumn id="1" xr3:uid="{EA997AE4-0E07-4B68-AE78-269D32F5958E}" name="Order_ID"/>
    <tableColumn id="2" xr3:uid="{962DE274-8E47-4132-8138-167FD7B4F620}" name="Product_ID"/>
    <tableColumn id="3" xr3:uid="{8EC98F55-B11B-4889-A5E4-32261EB8D8D5}" name="Region"/>
    <tableColumn id="4" xr3:uid="{7B52DE1B-2597-40FF-9AD9-66BCBE2167AD}" name="Sales"/>
    <tableColumn id="5" xr3:uid="{FE25F7FB-E7B6-448A-9A5D-4D92B1997C0B}" name="Product_Name" dataDxfId="3">
      <calculatedColumnFormula>VLOOKUP(B2,Product_Master!A:D,2,FALSE)</calculatedColumnFormula>
    </tableColumn>
    <tableColumn id="6" xr3:uid="{EA6543D4-02E3-4DB8-9B04-E522E42387CB}" name="Category" dataDxfId="2">
      <calculatedColumnFormula>_xlfn.XLOOKUP(B2,Product_Master!A:A,Product_Master!C:C)</calculatedColumnFormula>
    </tableColumn>
    <tableColumn id="7" xr3:uid="{F1F82CAA-743D-44E1-A517-35DB04609EE3}" name="Cost" dataDxfId="1">
      <calculatedColumnFormula>_xlfn.XLOOKUP(B2,Product_Master!A:A,Product_Master!D:D)</calculatedColumnFormula>
    </tableColumn>
    <tableColumn id="8" xr3:uid="{92886DF4-73D4-4505-B9A9-A84E70A5D6F4}" name="Profit" dataDxfId="0">
      <calculatedColumnFormula>D2-G2</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5DAB597-0C1F-4318-9F90-891BE5D4ABDE}" name="Table3" displayName="Table3" ref="A1:D5" totalsRowShown="0">
  <autoFilter ref="A1:D5" xr:uid="{E5DAB597-0C1F-4318-9F90-891BE5D4ABDE}"/>
  <tableColumns count="4">
    <tableColumn id="1" xr3:uid="{57FE0699-D5F2-488C-A0B8-5C94CF4CC7A5}" name="Product_ID"/>
    <tableColumn id="2" xr3:uid="{5AFF08BF-1A4E-423B-9C76-3C73A9A0FECC}" name="Product_Name"/>
    <tableColumn id="3" xr3:uid="{3B0C7A23-934A-4BC6-8942-82A6D77BF14E}" name="Category"/>
    <tableColumn id="4" xr3:uid="{B5CF8600-3F92-4837-8A58-0FF0D75813D7}" name="Cos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table" Target="../tables/table2.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A45B8-A82A-4294-A332-3E29A86E559A}">
  <dimension ref="A1:M10"/>
  <sheetViews>
    <sheetView workbookViewId="0">
      <selection activeCell="L12" sqref="L12"/>
    </sheetView>
  </sheetViews>
  <sheetFormatPr defaultRowHeight="14.4" x14ac:dyDescent="0.3"/>
  <cols>
    <col min="1" max="1" width="10.44140625" customWidth="1"/>
    <col min="2" max="2" width="12.5546875" customWidth="1"/>
    <col min="4" max="4" width="9.5546875" customWidth="1"/>
    <col min="5" max="5" width="10.44140625" customWidth="1"/>
    <col min="7" max="7" width="10.21875" customWidth="1"/>
    <col min="8" max="8" width="10.6640625" customWidth="1"/>
    <col min="12" max="12" width="33.5546875" customWidth="1"/>
    <col min="13" max="13" width="13.88671875" customWidth="1"/>
  </cols>
  <sheetData>
    <row r="1" spans="1:13" ht="15.6" x14ac:dyDescent="0.3">
      <c r="A1" t="s">
        <v>0</v>
      </c>
      <c r="B1" t="s">
        <v>1</v>
      </c>
      <c r="C1" t="s">
        <v>2</v>
      </c>
      <c r="D1" t="s">
        <v>3</v>
      </c>
      <c r="E1" t="s">
        <v>4</v>
      </c>
      <c r="F1" t="s">
        <v>5</v>
      </c>
      <c r="G1" t="s">
        <v>6</v>
      </c>
      <c r="H1" t="s">
        <v>16</v>
      </c>
      <c r="L1" s="2" t="s">
        <v>18</v>
      </c>
      <c r="M1">
        <f>SUM(F2:F9)</f>
        <v>15300</v>
      </c>
    </row>
    <row r="2" spans="1:13" ht="15.6" x14ac:dyDescent="0.3">
      <c r="A2">
        <v>1001</v>
      </c>
      <c r="B2" s="1">
        <v>45292</v>
      </c>
      <c r="C2" t="s">
        <v>7</v>
      </c>
      <c r="D2" t="s">
        <v>23</v>
      </c>
      <c r="E2" t="s">
        <v>9</v>
      </c>
      <c r="F2">
        <v>3500</v>
      </c>
      <c r="G2">
        <v>1</v>
      </c>
      <c r="H2" t="str">
        <f>IF(F2 &gt; 2000,"High","Low")</f>
        <v>High</v>
      </c>
      <c r="L2" s="4" t="s">
        <v>19</v>
      </c>
      <c r="M2">
        <f>AVERAGE(F2:F9)</f>
        <v>1912.5</v>
      </c>
    </row>
    <row r="3" spans="1:13" ht="15.6" x14ac:dyDescent="0.3">
      <c r="A3">
        <v>1002</v>
      </c>
      <c r="B3" s="1">
        <v>45293</v>
      </c>
      <c r="C3" t="s">
        <v>10</v>
      </c>
      <c r="D3" t="s">
        <v>11</v>
      </c>
      <c r="E3" t="s">
        <v>9</v>
      </c>
      <c r="F3">
        <v>2500</v>
      </c>
      <c r="G3">
        <v>2</v>
      </c>
      <c r="H3" t="str">
        <f t="shared" ref="H3:H9" si="0">IF(F3 &gt; 2000,"High","Low")</f>
        <v>High</v>
      </c>
      <c r="L3" s="2" t="s">
        <v>20</v>
      </c>
      <c r="M3">
        <f>COUNT(A2:A9)</f>
        <v>8</v>
      </c>
    </row>
    <row r="4" spans="1:13" ht="15.6" x14ac:dyDescent="0.3">
      <c r="A4">
        <v>1003</v>
      </c>
      <c r="B4" s="1">
        <v>45294</v>
      </c>
      <c r="C4" t="s">
        <v>7</v>
      </c>
      <c r="D4" t="s">
        <v>12</v>
      </c>
      <c r="E4" t="s">
        <v>13</v>
      </c>
      <c r="F4">
        <v>800</v>
      </c>
      <c r="G4">
        <v>4</v>
      </c>
      <c r="H4" t="str">
        <f t="shared" si="0"/>
        <v>Low</v>
      </c>
      <c r="L4" s="3" t="s">
        <v>17</v>
      </c>
      <c r="M4">
        <f>SUMIF(C:C,"Dubai",F:F)</f>
        <v>7100</v>
      </c>
    </row>
    <row r="5" spans="1:13" ht="15.6" x14ac:dyDescent="0.3">
      <c r="A5">
        <v>1004</v>
      </c>
      <c r="B5" s="1">
        <v>45295</v>
      </c>
      <c r="C5" t="s">
        <v>14</v>
      </c>
      <c r="D5" t="s">
        <v>15</v>
      </c>
      <c r="E5" t="s">
        <v>13</v>
      </c>
      <c r="F5">
        <v>1200</v>
      </c>
      <c r="G5">
        <v>1</v>
      </c>
      <c r="H5" t="str">
        <f t="shared" si="0"/>
        <v>Low</v>
      </c>
      <c r="L5" s="3" t="s">
        <v>21</v>
      </c>
      <c r="M5">
        <f>COUNTIF(E:E,"Electronics")</f>
        <v>4</v>
      </c>
    </row>
    <row r="6" spans="1:13" ht="15.6" x14ac:dyDescent="0.3">
      <c r="A6">
        <v>1005</v>
      </c>
      <c r="B6" s="1">
        <v>45296</v>
      </c>
      <c r="C6" t="s">
        <v>7</v>
      </c>
      <c r="D6" t="s">
        <v>11</v>
      </c>
      <c r="E6" t="s">
        <v>9</v>
      </c>
      <c r="F6">
        <v>1300</v>
      </c>
      <c r="G6">
        <v>1</v>
      </c>
      <c r="H6" t="str">
        <f t="shared" si="0"/>
        <v>Low</v>
      </c>
      <c r="L6" s="3" t="s">
        <v>22</v>
      </c>
      <c r="M6">
        <f>SUMIFS(F:F,E:E,"Electronics",C:C,"Dubai")</f>
        <v>4800</v>
      </c>
    </row>
    <row r="7" spans="1:13" x14ac:dyDescent="0.3">
      <c r="A7">
        <v>1006</v>
      </c>
      <c r="B7" s="1">
        <v>45297</v>
      </c>
      <c r="C7" t="s">
        <v>10</v>
      </c>
      <c r="D7" t="s">
        <v>8</v>
      </c>
      <c r="E7" t="s">
        <v>9</v>
      </c>
      <c r="F7">
        <v>3600</v>
      </c>
      <c r="G7">
        <v>1</v>
      </c>
      <c r="H7" t="str">
        <f t="shared" si="0"/>
        <v>High</v>
      </c>
    </row>
    <row r="8" spans="1:13" x14ac:dyDescent="0.3">
      <c r="A8">
        <v>1007</v>
      </c>
      <c r="B8" s="1">
        <v>45298</v>
      </c>
      <c r="C8" t="s">
        <v>14</v>
      </c>
      <c r="D8" t="s">
        <v>12</v>
      </c>
      <c r="E8" t="s">
        <v>13</v>
      </c>
      <c r="F8">
        <v>900</v>
      </c>
      <c r="G8">
        <v>3</v>
      </c>
      <c r="H8" t="str">
        <f t="shared" si="0"/>
        <v>Low</v>
      </c>
    </row>
    <row r="9" spans="1:13" x14ac:dyDescent="0.3">
      <c r="A9">
        <v>1008</v>
      </c>
      <c r="B9" s="1">
        <v>45299</v>
      </c>
      <c r="C9" t="s">
        <v>7</v>
      </c>
      <c r="D9" t="s">
        <v>15</v>
      </c>
      <c r="E9" t="s">
        <v>13</v>
      </c>
      <c r="F9">
        <v>1500</v>
      </c>
      <c r="G9">
        <v>2</v>
      </c>
      <c r="H9" t="str">
        <f t="shared" si="0"/>
        <v>Low</v>
      </c>
    </row>
    <row r="10" spans="1:13" x14ac:dyDescent="0.3">
      <c r="B10" s="1"/>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0E30EB-A2A0-450D-94D6-8853B384F4F6}">
  <dimension ref="A3:B7"/>
  <sheetViews>
    <sheetView workbookViewId="0">
      <selection activeCell="A5" activeCellId="1" sqref="A4 A5"/>
    </sheetView>
  </sheetViews>
  <sheetFormatPr defaultRowHeight="14.4" x14ac:dyDescent="0.3"/>
  <cols>
    <col min="1" max="1" width="12.5546875" bestFit="1" customWidth="1"/>
    <col min="2" max="2" width="11.6640625" bestFit="1" customWidth="1"/>
  </cols>
  <sheetData>
    <row r="3" spans="1:2" x14ac:dyDescent="0.3">
      <c r="A3" s="5" t="s">
        <v>24</v>
      </c>
      <c r="B3" t="s">
        <v>26</v>
      </c>
    </row>
    <row r="4" spans="1:2" x14ac:dyDescent="0.3">
      <c r="A4" s="6" t="s">
        <v>7</v>
      </c>
      <c r="B4">
        <v>7100</v>
      </c>
    </row>
    <row r="5" spans="1:2" x14ac:dyDescent="0.3">
      <c r="A5" s="6" t="s">
        <v>10</v>
      </c>
      <c r="B5">
        <v>6100</v>
      </c>
    </row>
    <row r="6" spans="1:2" x14ac:dyDescent="0.3">
      <c r="A6" s="6" t="s">
        <v>14</v>
      </c>
      <c r="B6">
        <v>2100</v>
      </c>
    </row>
    <row r="7" spans="1:2" x14ac:dyDescent="0.3">
      <c r="A7" s="6" t="s">
        <v>25</v>
      </c>
      <c r="B7">
        <v>15300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BB565-29C7-414F-8589-299B932B14AF}">
  <dimension ref="A3:B6"/>
  <sheetViews>
    <sheetView workbookViewId="0">
      <selection activeCell="B5" sqref="B5"/>
    </sheetView>
  </sheetViews>
  <sheetFormatPr defaultRowHeight="14.4" x14ac:dyDescent="0.3"/>
  <cols>
    <col min="1" max="1" width="12.5546875" bestFit="1" customWidth="1"/>
    <col min="2" max="2" width="11.6640625" bestFit="1" customWidth="1"/>
  </cols>
  <sheetData>
    <row r="3" spans="1:2" x14ac:dyDescent="0.3">
      <c r="A3" s="5" t="s">
        <v>24</v>
      </c>
      <c r="B3" t="s">
        <v>26</v>
      </c>
    </row>
    <row r="4" spans="1:2" x14ac:dyDescent="0.3">
      <c r="A4" s="6" t="s">
        <v>9</v>
      </c>
      <c r="B4">
        <v>10900</v>
      </c>
    </row>
    <row r="5" spans="1:2" x14ac:dyDescent="0.3">
      <c r="A5" s="6" t="s">
        <v>13</v>
      </c>
      <c r="B5">
        <v>4400</v>
      </c>
    </row>
    <row r="6" spans="1:2" x14ac:dyDescent="0.3">
      <c r="A6" s="6" t="s">
        <v>25</v>
      </c>
      <c r="B6">
        <v>15300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E56E3F-E764-4ACF-9C3C-20639B821263}">
  <dimension ref="A1:H6"/>
  <sheetViews>
    <sheetView tabSelected="1" workbookViewId="0">
      <selection activeCell="Q11" sqref="Q11"/>
    </sheetView>
  </sheetViews>
  <sheetFormatPr defaultRowHeight="14.4" x14ac:dyDescent="0.3"/>
  <cols>
    <col min="1" max="1" width="10.44140625" customWidth="1"/>
    <col min="2" max="2" width="12.33203125" customWidth="1"/>
    <col min="5" max="5" width="15.88671875" customWidth="1"/>
    <col min="6" max="6" width="11.109375" customWidth="1"/>
    <col min="8" max="8" width="11.44140625" customWidth="1"/>
  </cols>
  <sheetData>
    <row r="1" spans="1:8" x14ac:dyDescent="0.3">
      <c r="A1" t="s">
        <v>0</v>
      </c>
      <c r="B1" t="s">
        <v>27</v>
      </c>
      <c r="C1" t="s">
        <v>2</v>
      </c>
      <c r="D1" t="s">
        <v>5</v>
      </c>
      <c r="E1" t="s">
        <v>32</v>
      </c>
      <c r="F1" t="s">
        <v>4</v>
      </c>
      <c r="G1" t="s">
        <v>33</v>
      </c>
      <c r="H1" t="s">
        <v>34</v>
      </c>
    </row>
    <row r="2" spans="1:8" x14ac:dyDescent="0.3">
      <c r="A2">
        <v>1001</v>
      </c>
      <c r="B2" t="s">
        <v>28</v>
      </c>
      <c r="C2" t="s">
        <v>7</v>
      </c>
      <c r="D2">
        <v>3500</v>
      </c>
      <c r="E2" t="str">
        <f>VLOOKUP(B2,Product_Master!A:D,2,FALSE)</f>
        <v>Laptop</v>
      </c>
      <c r="F2" t="str">
        <f>_xlfn.XLOOKUP(B2,Product_Master!A:A,Product_Master!C:C)</f>
        <v>Electronics</v>
      </c>
      <c r="G2">
        <f>_xlfn.XLOOKUP(B2,Product_Master!A:A,Product_Master!D:D)</f>
        <v>2800</v>
      </c>
      <c r="H2">
        <f t="shared" ref="H2:H6" si="0">D2-G2</f>
        <v>700</v>
      </c>
    </row>
    <row r="3" spans="1:8" x14ac:dyDescent="0.3">
      <c r="A3">
        <v>1002</v>
      </c>
      <c r="B3" t="s">
        <v>29</v>
      </c>
      <c r="C3" t="s">
        <v>10</v>
      </c>
      <c r="D3">
        <v>2500</v>
      </c>
      <c r="E3" t="str">
        <f>VLOOKUP(B3,Product_Master!A:D,2,FALSE)</f>
        <v>Mobile</v>
      </c>
      <c r="F3" t="str">
        <f>_xlfn.XLOOKUP(B3,Product_Master!A:A,Product_Master!C:C)</f>
        <v>Electronics</v>
      </c>
      <c r="G3">
        <f>_xlfn.XLOOKUP(B3,Product_Master!A:A,Product_Master!D:D)</f>
        <v>1800</v>
      </c>
      <c r="H3">
        <f t="shared" si="0"/>
        <v>700</v>
      </c>
    </row>
    <row r="4" spans="1:8" x14ac:dyDescent="0.3">
      <c r="A4">
        <v>1003</v>
      </c>
      <c r="B4" t="s">
        <v>30</v>
      </c>
      <c r="C4" t="s">
        <v>7</v>
      </c>
      <c r="D4">
        <v>800</v>
      </c>
      <c r="E4" t="str">
        <f>VLOOKUP(B4,Product_Master!A:D,2,FALSE)</f>
        <v>Chair</v>
      </c>
      <c r="F4" t="str">
        <f>_xlfn.XLOOKUP(B4,Product_Master!A:A,Product_Master!C:C)</f>
        <v>Furniture</v>
      </c>
      <c r="G4">
        <f>_xlfn.XLOOKUP(B4,Product_Master!A:A,Product_Master!D:D)</f>
        <v>500</v>
      </c>
      <c r="H4">
        <f t="shared" si="0"/>
        <v>300</v>
      </c>
    </row>
    <row r="5" spans="1:8" x14ac:dyDescent="0.3">
      <c r="A5">
        <v>1004</v>
      </c>
      <c r="B5" t="s">
        <v>31</v>
      </c>
      <c r="C5" t="s">
        <v>14</v>
      </c>
      <c r="D5">
        <v>1200</v>
      </c>
      <c r="E5" t="str">
        <f>VLOOKUP(B5,Product_Master!A:D,2,FALSE)</f>
        <v>Table</v>
      </c>
      <c r="F5" t="str">
        <f>_xlfn.XLOOKUP(B5,Product_Master!A:A,Product_Master!C:C)</f>
        <v>Furniture</v>
      </c>
      <c r="G5">
        <f>_xlfn.XLOOKUP(B5,Product_Master!A:A,Product_Master!D:D)</f>
        <v>900</v>
      </c>
      <c r="H5">
        <f t="shared" si="0"/>
        <v>300</v>
      </c>
    </row>
    <row r="6" spans="1:8" x14ac:dyDescent="0.3">
      <c r="A6">
        <v>1005</v>
      </c>
      <c r="B6" t="s">
        <v>29</v>
      </c>
      <c r="C6" t="s">
        <v>7</v>
      </c>
      <c r="D6">
        <v>1300</v>
      </c>
      <c r="E6" t="str">
        <f>VLOOKUP(B6,Product_Master!A:D,2,FALSE)</f>
        <v>Mobile</v>
      </c>
      <c r="F6" t="str">
        <f>_xlfn.XLOOKUP(B6,Product_Master!A:A,Product_Master!C:C)</f>
        <v>Electronics</v>
      </c>
      <c r="G6">
        <f>_xlfn.XLOOKUP(B6,Product_Master!A:A,Product_Master!D:D)</f>
        <v>1800</v>
      </c>
      <c r="H6">
        <f t="shared" si="0"/>
        <v>-500</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821BA4-0D58-4B2B-AB71-B85EBCD870DA}">
  <dimension ref="A1:D5"/>
  <sheetViews>
    <sheetView workbookViewId="0">
      <selection activeCell="D2" sqref="D2"/>
    </sheetView>
  </sheetViews>
  <sheetFormatPr defaultRowHeight="14.4" x14ac:dyDescent="0.3"/>
  <cols>
    <col min="1" max="1" width="12.33203125" customWidth="1"/>
    <col min="2" max="2" width="15.5546875" customWidth="1"/>
    <col min="3" max="3" width="10.44140625" customWidth="1"/>
  </cols>
  <sheetData>
    <row r="1" spans="1:4" x14ac:dyDescent="0.3">
      <c r="A1" t="s">
        <v>27</v>
      </c>
      <c r="B1" t="s">
        <v>32</v>
      </c>
      <c r="C1" t="s">
        <v>4</v>
      </c>
      <c r="D1" t="s">
        <v>33</v>
      </c>
    </row>
    <row r="2" spans="1:4" x14ac:dyDescent="0.3">
      <c r="A2" t="s">
        <v>28</v>
      </c>
      <c r="B2" t="s">
        <v>8</v>
      </c>
      <c r="C2" t="s">
        <v>9</v>
      </c>
      <c r="D2">
        <v>2800</v>
      </c>
    </row>
    <row r="3" spans="1:4" x14ac:dyDescent="0.3">
      <c r="A3" t="s">
        <v>29</v>
      </c>
      <c r="B3" t="s">
        <v>11</v>
      </c>
      <c r="C3" t="s">
        <v>9</v>
      </c>
      <c r="D3">
        <v>1800</v>
      </c>
    </row>
    <row r="4" spans="1:4" x14ac:dyDescent="0.3">
      <c r="A4" t="s">
        <v>30</v>
      </c>
      <c r="B4" t="s">
        <v>12</v>
      </c>
      <c r="C4" t="s">
        <v>13</v>
      </c>
      <c r="D4">
        <v>500</v>
      </c>
    </row>
    <row r="5" spans="1:4" x14ac:dyDescent="0.3">
      <c r="A5" t="s">
        <v>31</v>
      </c>
      <c r="B5" t="s">
        <v>15</v>
      </c>
      <c r="C5" t="s">
        <v>13</v>
      </c>
      <c r="D5">
        <v>900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Sales by Region</vt:lpstr>
      <vt:lpstr>Sales by Category</vt:lpstr>
      <vt:lpstr>Sales_Data</vt:lpstr>
      <vt:lpstr>Product_Master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Vishnu C M</dc:creator>
  <cp:lastModifiedBy>Vishnu C M</cp:lastModifiedBy>
  <dcterms:created xsi:type="dcterms:W3CDTF">2025-12-24T15:25:46Z</dcterms:created>
  <dcterms:modified xsi:type="dcterms:W3CDTF">2025-12-25T11:50:16Z</dcterms:modified>
</cp:coreProperties>
</file>